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lahw-my.sharepoint.com/personal/wmatthews_aplahealth_org/Documents/Desktop/"/>
    </mc:Choice>
  </mc:AlternateContent>
  <xr:revisionPtr revIDLastSave="175" documentId="13_ncr:1_{7CDA1C68-395C-4447-95B4-97C8CEF61527}" xr6:coauthVersionLast="47" xr6:coauthVersionMax="47" xr10:uidLastSave="{CF8316EB-BA7B-41D0-B63A-07D2E1ABE4A6}"/>
  <bookViews>
    <workbookView xWindow="-120" yWindow="-120" windowWidth="29040" windowHeight="15720" xr2:uid="{35648F50-1E46-4481-9456-B9FCFCEA0C9E}"/>
  </bookViews>
  <sheets>
    <sheet name="Main Sheet" sheetId="1" r:id="rId1"/>
    <sheet name="Master Sheet" sheetId="5" r:id="rId2"/>
    <sheet name="Section Changes" sheetId="6" r:id="rId3"/>
    <sheet name="Sheet2" sheetId="2" state="hidden" r:id="rId4"/>
    <sheet name="Session Logs" sheetId="8" r:id="rId5"/>
    <sheet name="Dev. Notes" sheetId="7" r:id="rId6"/>
  </sheets>
  <functionGroups builtInGroupCount="19"/>
  <definedNames>
    <definedName name="_xleta.OR" hidden="1" xlm="1">#NAME?</definedName>
    <definedName name="currQList">_xlfn.ANCHORARRAY(Sheet2!$E$2)</definedName>
    <definedName name="get_Sect_nums">RIGHT(_xlfn._xlws.FILTER(_xlfn.ANCHORARRAY(Sheet2!$H$3:$H$39),(ISNUMBER(SEARCH("Section *",_xlfn.ANCHORARRAY(Sheet2!$H$3:$H$39))))), (LEN(_xlfn._xlws.FILTER(_xlfn.ANCHORARRAY(Sheet2!$H$3:$H$39),(ISNUMBER(SEARCH("Section *",_xlfn.ANCHORARRAY(Sheet2!$H$3:$H$39)))))) - SEARCH(" ",_xlfn._xlws.FILTER(_xlfn.ANCHORARRAY(Sheet2!$H$3:$H$39),(ISNUMBER(SEARCH("Section *",_xlfn.ANCHORARRAY(Sheet2!$H$3:$H$39))))))))</definedName>
    <definedName name="NextQButn2">'Main Sheet'!#REF!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2" l="1" a="1"/>
  <c r="N2" i="2" s="1"/>
  <c r="I2" i="2"/>
  <c r="B30" i="2"/>
  <c r="A30" i="2"/>
  <c r="L2" i="2" l="1" a="1"/>
  <c r="L2" i="2" s="1"/>
  <c r="L22" i="6"/>
  <c r="K3" i="2" a="1"/>
  <c r="K3" i="2" s="1"/>
  <c r="E11" i="6" l="1"/>
  <c r="B2" i="5"/>
  <c r="J2" i="2" a="1"/>
  <c r="J2" i="2" s="1"/>
  <c r="F2" i="2" l="1" a="1"/>
  <c r="F2" i="2" s="1"/>
  <c r="G3" i="2" s="1" a="1"/>
  <c r="G3" i="2" s="1"/>
  <c r="E2" i="2" a="1"/>
  <c r="E2" i="2" s="1"/>
  <c r="E19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<sst xmlns="http://schemas.openxmlformats.org/spreadsheetml/2006/main" count="120" uniqueCount="109">
  <si>
    <t xml:space="preserve">Date: </t>
  </si>
  <si>
    <t>Session #:</t>
  </si>
  <si>
    <t>Section 1</t>
  </si>
  <si>
    <t>Questions</t>
  </si>
  <si>
    <t>Section 1 Question 1</t>
  </si>
  <si>
    <t>Section 2 Question 1</t>
  </si>
  <si>
    <t>Section 2 Question 2</t>
  </si>
  <si>
    <t>Section 3 Question 1</t>
  </si>
  <si>
    <t>Section 4 Question 1</t>
  </si>
  <si>
    <t>Section 4 Question 2</t>
  </si>
  <si>
    <t>Section 4 Question 3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</si>
  <si>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</si>
  <si>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</si>
  <si>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</si>
  <si>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</si>
  <si>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</si>
  <si>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</si>
  <si>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</si>
  <si>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</si>
  <si>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</si>
  <si>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</si>
  <si>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</si>
  <si>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</si>
  <si>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</si>
  <si>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</si>
  <si>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</si>
  <si>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</si>
  <si>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</si>
  <si>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</si>
  <si>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</si>
  <si>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</si>
  <si>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</si>
  <si>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</si>
  <si>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</si>
  <si>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</si>
  <si>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</si>
  <si>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</si>
  <si>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</si>
  <si>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</si>
  <si>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</si>
  <si>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</si>
  <si>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</si>
  <si>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</si>
  <si>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</si>
  <si>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</si>
  <si>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</si>
  <si>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</si>
  <si>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</si>
  <si>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</si>
  <si>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</si>
  <si>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</si>
  <si>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</si>
  <si>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</si>
  <si>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</si>
  <si>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</si>
  <si>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</si>
  <si>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</si>
  <si>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</si>
  <si>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</si>
  <si>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</si>
  <si>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</si>
  <si>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</si>
  <si>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</si>
  <si>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</si>
  <si>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</si>
  <si>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</si>
  <si>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</si>
  <si>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</si>
  <si>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</si>
  <si>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</si>
  <si>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</si>
  <si>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</si>
  <si>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</si>
  <si>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</si>
  <si>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</si>
  <si>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</si>
  <si>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</si>
  <si>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Would you like to meet every couple of weeks?</t>
  </si>
  <si>
    <t>ID</t>
  </si>
  <si>
    <t>Session Date</t>
  </si>
  <si>
    <t>Session Num</t>
  </si>
  <si>
    <t>Full Name</t>
  </si>
  <si>
    <t>Name:</t>
  </si>
  <si>
    <t>Client Initials</t>
  </si>
  <si>
    <t>Modify Sections and Questions</t>
  </si>
  <si>
    <t>I think that wraps it up for today, thank you for taking the time to talk this through with me.</t>
  </si>
  <si>
    <t>I need to:</t>
  </si>
  <si>
    <t>Date</t>
  </si>
  <si>
    <t>Note</t>
  </si>
  <si>
    <t>Version 1 Release</t>
  </si>
  <si>
    <t>Need to add 'add/delete section' functionality</t>
  </si>
  <si>
    <t>Review for errors</t>
  </si>
  <si>
    <t>Optimize VBA script</t>
  </si>
  <si>
    <t>Dev. Notes</t>
  </si>
  <si>
    <t>Current Section and Question:</t>
  </si>
  <si>
    <t>Removed unnecessary sheets</t>
  </si>
  <si>
    <t>Section Name:</t>
  </si>
  <si>
    <t>Section #</t>
  </si>
  <si>
    <t>Question #</t>
  </si>
  <si>
    <t>Question:</t>
  </si>
  <si>
    <t>DON'T RENAME SHEET2 - determine error with renaming sheet (VBA)</t>
  </si>
  <si>
    <t>--Select Section--</t>
  </si>
  <si>
    <t>Promt user for deleting sections/questions</t>
  </si>
  <si>
    <t>Hard reset button (to completely reset everything)</t>
  </si>
  <si>
    <t>Add session to Session Logs sheet</t>
  </si>
  <si>
    <t>Done! :)</t>
  </si>
  <si>
    <t>Seperate reset button for only questions and sections, not name, ID, date, etc.</t>
  </si>
  <si>
    <t>Auto retrieve ID from Master sheet when name is typed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</si>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</sst>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.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2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36"/>
      <name val="Aptos Narrow"/>
      <family val="2"/>
      <scheme val="minor"/>
    </font>
    <font>
      <sz val="2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34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164" fontId="0" fillId="0" borderId="0" xfId="0" applyNumberFormat="1"/>
    <xf numFmtId="14" fontId="0" fillId="0" borderId="0" xfId="0" applyNumberFormat="1"/>
    <xf numFmtId="0" fontId="0" fillId="2" borderId="0" xfId="0" applyFill="1"/>
    <xf numFmtId="0" fontId="9" fillId="2" borderId="0" xfId="0" applyFont="1" applyFill="1"/>
    <xf numFmtId="0" fontId="12" fillId="2" borderId="0" xfId="0" applyFont="1" applyFill="1"/>
    <xf numFmtId="0" fontId="7" fillId="2" borderId="0" xfId="0" applyFont="1" applyFill="1" applyAlignment="1">
      <alignment horizontal="right"/>
    </xf>
    <xf numFmtId="0" fontId="13" fillId="2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7" fillId="2" borderId="0" xfId="0" applyFont="1" applyFill="1"/>
    <xf numFmtId="0" fontId="14" fillId="2" borderId="0" xfId="0" applyFont="1" applyFill="1" applyAlignment="1">
      <alignment horizontal="right"/>
    </xf>
    <xf numFmtId="0" fontId="0" fillId="0" borderId="0" xfId="0" applyAlignment="1">
      <alignment wrapText="1"/>
    </xf>
    <xf numFmtId="0" fontId="5" fillId="0" borderId="0" xfId="0" applyFont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9" fillId="2" borderId="0" xfId="0" applyFont="1" applyFill="1"/>
    <xf numFmtId="0" fontId="7" fillId="2" borderId="2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12" fillId="2" borderId="0" xfId="0" applyFont="1" applyFill="1"/>
    <xf numFmtId="0" fontId="7" fillId="2" borderId="2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7" fillId="2" borderId="4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7" fillId="2" borderId="0" xfId="0" applyFont="1" applyFill="1" applyAlignment="1">
      <alignment horizontal="right"/>
    </xf>
    <xf numFmtId="0" fontId="7" fillId="2" borderId="6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7" fillId="2" borderId="9" xfId="0" applyFont="1" applyFill="1" applyBorder="1" applyAlignment="1">
      <alignment horizontal="right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0" xfId="0" applyFont="1" applyFill="1" applyAlignment="1">
      <alignment vertical="center"/>
    </xf>
    <xf numFmtId="0" fontId="13" fillId="2" borderId="6" xfId="0" applyFont="1" applyFill="1" applyBorder="1" applyAlignment="1">
      <alignment vertical="center"/>
    </xf>
    <xf numFmtId="0" fontId="13" fillId="2" borderId="7" xfId="0" applyFont="1" applyFill="1" applyBorder="1" applyAlignment="1">
      <alignment vertical="center"/>
    </xf>
    <xf numFmtId="0" fontId="13" fillId="2" borderId="8" xfId="0" applyFont="1" applyFill="1" applyBorder="1" applyAlignment="1">
      <alignment vertical="center"/>
    </xf>
    <xf numFmtId="0" fontId="13" fillId="2" borderId="9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10" fillId="2" borderId="3" xfId="0" applyFont="1" applyFill="1" applyBorder="1" applyAlignment="1">
      <alignment vertical="center"/>
    </xf>
    <xf numFmtId="0" fontId="10" fillId="2" borderId="4" xfId="0" applyFont="1" applyFill="1" applyBorder="1" applyAlignment="1">
      <alignment vertical="center"/>
    </xf>
    <xf numFmtId="0" fontId="10" fillId="2" borderId="5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0" fontId="10" fillId="2" borderId="9" xfId="0" applyFont="1" applyFill="1" applyBorder="1" applyAlignment="1">
      <alignment vertical="center"/>
    </xf>
    <xf numFmtId="0" fontId="5" fillId="0" borderId="1" xfId="0" applyFont="1" applyBorder="1" applyAlignment="1">
      <alignment horizontal="right"/>
    </xf>
    <xf numFmtId="0" fontId="5" fillId="0" borderId="1" xfId="0" applyFont="1" applyBorder="1" applyAlignment="1">
      <alignment horizontal="right"/>
    </xf>
  </cellXfs>
  <cellStyles count="1">
    <cellStyle name="Normal" xfId="0" builtinId="0"/>
  </cellStyles>
  <dxfs count="4">
    <dxf>
      <numFmt numFmtId="164" formatCode="0000#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4" formatCode="0000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6307" name="NextQButn1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42D7AB91-69C3-B72D-B6E7-F06156C88F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6308" name="AddNewSectButn1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ACC1E855-E692-6D58-EFA5-2AF62C286A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4</xdr:row>
          <xdr:rowOff>9525</xdr:rowOff>
        </xdr:from>
        <xdr:to>
          <xdr:col>4</xdr:col>
          <xdr:colOff>276225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4</xdr:row>
          <xdr:rowOff>9525</xdr:rowOff>
        </xdr:from>
        <xdr:to>
          <xdr:col>9</xdr:col>
          <xdr:colOff>466725</xdr:colOff>
          <xdr:row>6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4</xdr:row>
          <xdr:rowOff>9525</xdr:rowOff>
        </xdr:from>
        <xdr:to>
          <xdr:col>15</xdr:col>
          <xdr:colOff>47625</xdr:colOff>
          <xdr:row>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4</xdr:row>
          <xdr:rowOff>19050</xdr:rowOff>
        </xdr:from>
        <xdr:to>
          <xdr:col>20</xdr:col>
          <xdr:colOff>228600</xdr:colOff>
          <xdr:row>6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371475</xdr:colOff>
          <xdr:row>4</xdr:row>
          <xdr:rowOff>28575</xdr:rowOff>
        </xdr:from>
        <xdr:to>
          <xdr:col>25</xdr:col>
          <xdr:colOff>419100</xdr:colOff>
          <xdr:row>6</xdr:row>
          <xdr:rowOff>123825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MasterClientListTable" displayName="MasterClientListTable" ref="A1:C2" totalsRowShown="0">
  <autoFilter ref="A1:C2" xr:uid="{D7EFA35C-AA3E-4875-B0A1-EFAEC6D9710F}"/>
  <tableColumns count="3">
    <tableColumn id="1" xr3:uid="{D72899BA-419B-43D2-B6E2-A6C7DF3CF018}" name="Full Name"/>
    <tableColumn id="5" xr3:uid="{7FE88BD1-4B93-4121-A8D8-4DA55A698751}" name="Client Initials">
      <calculatedColumnFormula>IF(MasterClientListTable[[#This Row],[Full Name]]&lt;&gt;"",LEFT(MasterClientListTable[[#This Row],[Full Name]],2) &amp; " " &amp; LEFT(RIGHT(MasterClientListTable[[#This Row],[Full Name]],(SEARCH(" ",MasterClientListTable[[#This Row],[Full Name]]) + 1)),3),"")</calculatedColumnFormula>
    </tableColumn>
    <tableColumn id="2" xr3:uid="{902AF079-4133-4423-8B89-80F45FA4495C}" name="ID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1ECDD-EFA1-426A-B5F3-2E2D69994EBC}" name="SectsandQs" displayName="SectsandQs" ref="A1:B30" totalsRowShown="0">
  <tableColumns count="2">
    <tableColumn id="1" xr3:uid="{86E76348-45EB-4A1A-A271-CF1DED2A2C14}" name="Sections"/>
    <tableColumn id="2" xr3:uid="{AB0ED834-C27D-41E0-AB6D-FABAC832DB98}" name="Ques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D40FF4-5BD2-47D6-9068-D76CF69DB75E}" name="SectionsList" displayName="SectionsList" ref="H1:I11" totalsRowShown="0">
  <autoFilter ref="H1:I11" xr:uid="{40D40FF4-5BD2-47D6-9068-D76CF69DB75E}"/>
  <tableColumns count="2">
    <tableColumn id="1" xr3:uid="{78BBC346-FAC6-4FC4-A7F8-0CF3A96B6B98}" name="Sections" dataDxfId="2"/>
    <tableColumn id="2" xr3:uid="{8448674C-5A1D-423E-8205-8DB66A883BD0}" name="Name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133C58-A750-46D0-A256-551F2FCB6938}" name="MasterClientListTable5" displayName="MasterClientListTable5" ref="A1:E2" insertRow="1" totalsRowShown="0">
  <autoFilter ref="A1:E2" xr:uid="{AA133C58-A750-46D0-A256-551F2FCB6938}"/>
  <tableColumns count="5">
    <tableColumn id="1" xr3:uid="{4BFAD364-6B1B-4968-BB56-A8B9A78AE24B}" name="Full Name"/>
    <tableColumn id="5" xr3:uid="{B37BBEC2-9F86-4365-9DE8-2791BF239689}" name="Client Initials">
      <calculatedColumnFormula>IF(MasterClientListTable5[[#This Row],[Full Name]]&lt;&gt;"",LEFT(MasterClientListTable5[[#This Row],[Full Name]],2) &amp; " " &amp; LEFT(RIGHT(MasterClientListTable5[[#This Row],[Full Name]],(SEARCH(" ",MasterClientListTable5[[#This Row],[Full Name]]) + 1)),3),"")</calculatedColumnFormula>
    </tableColumn>
    <tableColumn id="2" xr3:uid="{649A3307-915A-4DF3-992F-699587FA805F}" name="ID" dataDxfId="0"/>
    <tableColumn id="3" xr3:uid="{CF6A79C9-EC1A-4A2B-9E95-066D3EAB03EE}" name="Session Date"/>
    <tableColumn id="4" xr3:uid="{5D6FCC58-60A7-43D2-BBCF-71342819E267}" name="Session Nu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3:U6"/>
  <sheetViews>
    <sheetView showGridLines="0" tabSelected="1" zoomScale="220" zoomScaleNormal="220" workbookViewId="0">
      <selection activeCell="C3" sqref="C3:I3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3" spans="1:21" x14ac:dyDescent="0.25">
      <c r="A3" s="65" t="s">
        <v>82</v>
      </c>
      <c r="B3" s="65"/>
      <c r="C3" s="18"/>
      <c r="D3" s="18"/>
      <c r="E3" s="18"/>
      <c r="F3" s="18"/>
      <c r="G3" s="18"/>
      <c r="H3" s="18"/>
      <c r="I3" s="18"/>
      <c r="K3" s="3" t="s">
        <v>28</v>
      </c>
      <c r="L3" s="19"/>
      <c r="M3" s="19"/>
      <c r="O3" s="64" t="s">
        <v>0</v>
      </c>
      <c r="P3" s="17"/>
      <c r="Q3" s="18"/>
      <c r="R3" s="18"/>
      <c r="T3" s="4" t="s">
        <v>1</v>
      </c>
      <c r="U3" s="2"/>
    </row>
    <row r="5" spans="1:21" x14ac:dyDescent="0.25">
      <c r="B5" s="16" t="s">
        <v>101</v>
      </c>
      <c r="C5" s="16"/>
      <c r="D5" s="16"/>
      <c r="E5" s="16"/>
      <c r="F5" s="16"/>
    </row>
    <row r="6" spans="1:21" ht="15" customHeight="1" x14ac:dyDescent="0.25">
      <c r="C6" s="15" t="s">
        <v>12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</row>
  </sheetData>
  <sheetProtection selectLockedCells="1"/>
  <dataConsolidate/>
  <mergeCells count="6">
    <mergeCell ref="C6:U6"/>
    <mergeCell ref="B5:F5"/>
    <mergeCell ref="P3:R3"/>
    <mergeCell ref="C3:I3"/>
    <mergeCell ref="L3:M3"/>
    <mergeCell ref="A3:B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7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8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  <x14:dataValidation type="list" allowBlank="1" showInputMessage="1" showErrorMessage="1" xr:uid="{70C6BE61-3F61-4503-A706-E769A17AA2A4}">
          <x14:formula1>
            <xm:f>_xlfn.ANCHORARRAY(Sheet2!$N$2)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C2"/>
  <sheetViews>
    <sheetView workbookViewId="0">
      <selection activeCell="A3" sqref="A3"/>
    </sheetView>
  </sheetViews>
  <sheetFormatPr defaultRowHeight="15" x14ac:dyDescent="0.25"/>
  <cols>
    <col min="1" max="1" width="14.42578125" customWidth="1"/>
    <col min="2" max="2" width="9.140625" customWidth="1"/>
    <col min="3" max="3" width="15" customWidth="1"/>
  </cols>
  <sheetData>
    <row r="1" spans="1:3" x14ac:dyDescent="0.25">
      <c r="A1" t="s">
        <v>81</v>
      </c>
      <c r="B1" t="s">
        <v>83</v>
      </c>
      <c r="C1" t="s">
        <v>78</v>
      </c>
    </row>
    <row r="2" spans="1:3" x14ac:dyDescent="0.25">
      <c r="B2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/>
      </c>
      <c r="C2" s="5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D66F-D2BD-4E87-BFE6-A2A0FA5FF622}">
  <sheetPr codeName="Sheet3"/>
  <dimension ref="A1:AC41"/>
  <sheetViews>
    <sheetView showGridLines="0" workbookViewId="0">
      <selection activeCell="R8" sqref="R8"/>
    </sheetView>
  </sheetViews>
  <sheetFormatPr defaultRowHeight="15" x14ac:dyDescent="0.25"/>
  <cols>
    <col min="6" max="6" width="9.140625" customWidth="1"/>
  </cols>
  <sheetData>
    <row r="1" spans="1:29" ht="15" customHeight="1" x14ac:dyDescent="0.25">
      <c r="A1" s="20" t="s">
        <v>84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2"/>
    </row>
    <row r="2" spans="1:29" ht="15" customHeight="1" x14ac:dyDescent="0.25">
      <c r="A2" s="23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5"/>
    </row>
    <row r="3" spans="1:29" ht="15.75" customHeight="1" thickBot="1" x14ac:dyDescent="0.3">
      <c r="A3" s="26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8"/>
    </row>
    <row r="4" spans="1:29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</row>
    <row r="5" spans="1:29" x14ac:dyDescent="0.25">
      <c r="A5" s="36" t="s">
        <v>86</v>
      </c>
      <c r="B5" s="36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</row>
    <row r="6" spans="1:29" ht="15" customHeight="1" x14ac:dyDescent="0.25">
      <c r="A6" s="36"/>
      <c r="B6" s="3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</row>
    <row r="7" spans="1:29" ht="15" customHeight="1" x14ac:dyDescent="0.4">
      <c r="A7" s="9"/>
      <c r="B7" s="9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</row>
    <row r="8" spans="1:29" ht="15" customHeight="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</row>
    <row r="9" spans="1:29" ht="15" customHeight="1" x14ac:dyDescent="0.45">
      <c r="A9" s="7"/>
      <c r="B9" s="29" t="s">
        <v>94</v>
      </c>
      <c r="C9" s="29"/>
      <c r="D9" s="29"/>
      <c r="E9" s="29"/>
      <c r="F9" s="29"/>
      <c r="G9" s="29"/>
      <c r="H9" s="8"/>
      <c r="I9" s="8"/>
      <c r="J9" s="8"/>
      <c r="K9" s="8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</row>
    <row r="10" spans="1:29" ht="15" customHeight="1" thickBot="1" x14ac:dyDescent="0.5">
      <c r="A10" s="7"/>
      <c r="B10" s="29"/>
      <c r="C10" s="29"/>
      <c r="D10" s="29"/>
      <c r="E10" s="29"/>
      <c r="F10" s="29"/>
      <c r="G10" s="29"/>
      <c r="H10" s="8"/>
      <c r="I10" s="8"/>
      <c r="J10" s="8"/>
      <c r="K10" s="8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</row>
    <row r="11" spans="1:29" ht="15" customHeight="1" x14ac:dyDescent="0.25">
      <c r="A11" s="37" t="s">
        <v>97</v>
      </c>
      <c r="B11" s="38"/>
      <c r="C11" s="38"/>
      <c r="D11" s="39"/>
      <c r="E11" s="30" t="str">
        <f>IF(INDEX(Sheet2!K2:L9,MATCH(L11,Sheet2!L2:L9,0),2)="--Select Section--","",INDEX(Sheet2!K2:L9,MATCH(L11,Sheet2!L2:L9,0),1))</f>
        <v/>
      </c>
      <c r="F11" s="31"/>
      <c r="G11" s="37" t="s">
        <v>96</v>
      </c>
      <c r="H11" s="38"/>
      <c r="I11" s="38"/>
      <c r="J11" s="38"/>
      <c r="K11" s="39"/>
      <c r="L11" s="46" t="s">
        <v>101</v>
      </c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8"/>
      <c r="Z11" s="7"/>
      <c r="AA11" s="7"/>
      <c r="AB11" s="7"/>
      <c r="AC11" s="7"/>
    </row>
    <row r="12" spans="1:29" ht="15" customHeight="1" x14ac:dyDescent="0.25">
      <c r="A12" s="40"/>
      <c r="B12" s="41"/>
      <c r="C12" s="41"/>
      <c r="D12" s="42"/>
      <c r="E12" s="32"/>
      <c r="F12" s="33"/>
      <c r="G12" s="40"/>
      <c r="H12" s="41"/>
      <c r="I12" s="41"/>
      <c r="J12" s="41"/>
      <c r="K12" s="42"/>
      <c r="L12" s="49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1"/>
      <c r="Z12" s="7"/>
      <c r="AA12" s="7"/>
      <c r="AB12" s="7"/>
      <c r="AC12" s="7"/>
    </row>
    <row r="13" spans="1:29" ht="15" customHeight="1" thickBot="1" x14ac:dyDescent="0.3">
      <c r="A13" s="43"/>
      <c r="B13" s="44"/>
      <c r="C13" s="44"/>
      <c r="D13" s="45"/>
      <c r="E13" s="34"/>
      <c r="F13" s="35"/>
      <c r="G13" s="43"/>
      <c r="H13" s="44"/>
      <c r="I13" s="44"/>
      <c r="J13" s="44"/>
      <c r="K13" s="45"/>
      <c r="L13" s="52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4"/>
      <c r="Z13" s="7"/>
      <c r="AA13" s="7"/>
      <c r="AB13" s="7"/>
      <c r="AC13" s="7"/>
    </row>
    <row r="14" spans="1:29" ht="15" customHeight="1" x14ac:dyDescent="0.7">
      <c r="A14" s="10"/>
      <c r="B14" s="10"/>
      <c r="C14" s="10"/>
      <c r="D14" s="10"/>
      <c r="E14" s="10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</row>
    <row r="15" spans="1:29" ht="15" customHeight="1" x14ac:dyDescent="0.7">
      <c r="A15" s="10"/>
      <c r="B15" s="10"/>
      <c r="C15" s="10"/>
      <c r="D15" s="10"/>
      <c r="E15" s="13"/>
      <c r="F15" s="13"/>
      <c r="G15" s="14"/>
      <c r="H15" s="14"/>
      <c r="I15" s="14"/>
      <c r="J15" s="14"/>
      <c r="K15" s="14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7"/>
      <c r="AA15" s="7"/>
      <c r="AB15" s="7"/>
      <c r="AC15" s="7"/>
    </row>
    <row r="16" spans="1:29" ht="15" customHeight="1" x14ac:dyDescent="0.7">
      <c r="A16" s="10"/>
      <c r="B16" s="10"/>
      <c r="C16" s="10"/>
      <c r="D16" s="10"/>
      <c r="E16" s="13"/>
      <c r="F16" s="13"/>
      <c r="G16" s="14"/>
      <c r="H16" s="14"/>
      <c r="I16" s="14"/>
      <c r="J16" s="14"/>
      <c r="K16" s="14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7"/>
      <c r="AA16" s="7"/>
      <c r="AB16" s="7"/>
      <c r="AC16" s="7"/>
    </row>
    <row r="17" spans="1:29" ht="15" customHeight="1" x14ac:dyDescent="0.7">
      <c r="A17" s="10"/>
      <c r="B17" s="10"/>
      <c r="C17" s="10"/>
      <c r="D17" s="10"/>
      <c r="E17" s="13"/>
      <c r="F17" s="13"/>
      <c r="G17" s="14"/>
      <c r="H17" s="14"/>
      <c r="I17" s="14"/>
      <c r="J17" s="14"/>
      <c r="K17" s="14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7"/>
      <c r="AA17" s="7"/>
      <c r="AB17" s="7"/>
      <c r="AC17" s="7"/>
    </row>
    <row r="18" spans="1:29" ht="15.75" customHeight="1" thickBot="1" x14ac:dyDescent="0.75">
      <c r="A18" s="7"/>
      <c r="B18" s="7"/>
      <c r="C18" s="7"/>
      <c r="D18" s="10"/>
      <c r="E18" s="10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</row>
    <row r="19" spans="1:29" ht="15" customHeight="1" x14ac:dyDescent="0.25">
      <c r="A19" s="37" t="s">
        <v>98</v>
      </c>
      <c r="B19" s="38"/>
      <c r="C19" s="38"/>
      <c r="D19" s="39"/>
      <c r="E19" s="30" t="str">
        <f>IFERROR(IF((INDEX(Sheet2!F:G,MATCH('Section Changes'!L19,Sheet2!F:F,0),2))=0,"",INDEX(Sheet2!F:G,MATCH('Section Changes'!L19,Sheet2!F:F,0),2)),"")</f>
        <v/>
      </c>
      <c r="F19" s="31"/>
      <c r="G19" s="37" t="s">
        <v>99</v>
      </c>
      <c r="H19" s="38"/>
      <c r="I19" s="38"/>
      <c r="J19" s="38"/>
      <c r="K19" s="39"/>
      <c r="L19" s="55" t="s">
        <v>12</v>
      </c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7"/>
      <c r="AC19" s="7"/>
    </row>
    <row r="20" spans="1:29" ht="15" customHeight="1" x14ac:dyDescent="0.25">
      <c r="A20" s="40"/>
      <c r="B20" s="41"/>
      <c r="C20" s="41"/>
      <c r="D20" s="42"/>
      <c r="E20" s="32"/>
      <c r="F20" s="33"/>
      <c r="G20" s="40"/>
      <c r="H20" s="41"/>
      <c r="I20" s="41"/>
      <c r="J20" s="41"/>
      <c r="K20" s="42"/>
      <c r="L20" s="58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60"/>
      <c r="AC20" s="7"/>
    </row>
    <row r="21" spans="1:29" ht="15.75" customHeight="1" thickBot="1" x14ac:dyDescent="0.3">
      <c r="A21" s="43"/>
      <c r="B21" s="44"/>
      <c r="C21" s="44"/>
      <c r="D21" s="45"/>
      <c r="E21" s="34"/>
      <c r="F21" s="35"/>
      <c r="G21" s="43"/>
      <c r="H21" s="44"/>
      <c r="I21" s="44"/>
      <c r="J21" s="44"/>
      <c r="K21" s="45"/>
      <c r="L21" s="61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3"/>
      <c r="AC21" s="7"/>
    </row>
    <row r="22" spans="1:29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 t="str">
        <f>"Max question characters is 95. This question is at: "&amp;(IF(L19&lt;&gt;"--Select Question--",LEN(L19),""))</f>
        <v xml:space="preserve">Max question characters is 95. This question is at: 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</row>
    <row r="23" spans="1:29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</row>
    <row r="24" spans="1:29" ht="15" customHeight="1" x14ac:dyDescent="0.7">
      <c r="A24" s="10"/>
      <c r="B24" s="10"/>
      <c r="C24" s="10"/>
      <c r="D24" s="10"/>
      <c r="E24" s="13"/>
      <c r="F24" s="13"/>
      <c r="G24" s="10"/>
      <c r="H24" s="10"/>
      <c r="I24" s="10"/>
      <c r="J24" s="10"/>
      <c r="K24" s="10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7"/>
    </row>
    <row r="25" spans="1:29" ht="15" customHeight="1" x14ac:dyDescent="0.7">
      <c r="A25" s="10"/>
      <c r="B25" s="10"/>
      <c r="C25" s="10"/>
      <c r="D25" s="10"/>
      <c r="E25" s="13"/>
      <c r="F25" s="13"/>
      <c r="G25" s="10"/>
      <c r="H25" s="10"/>
      <c r="I25" s="10"/>
      <c r="J25" s="10"/>
      <c r="K25" s="10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7"/>
    </row>
    <row r="26" spans="1:29" ht="15.75" customHeight="1" x14ac:dyDescent="0.7">
      <c r="A26" s="10"/>
      <c r="B26" s="10"/>
      <c r="C26" s="10"/>
      <c r="D26" s="10"/>
      <c r="E26" s="13"/>
      <c r="F26" s="13"/>
      <c r="G26" s="10"/>
      <c r="H26" s="10"/>
      <c r="I26" s="10"/>
      <c r="J26" s="10"/>
      <c r="K26" s="10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7"/>
    </row>
    <row r="27" spans="1:29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</row>
    <row r="28" spans="1:29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</row>
    <row r="29" spans="1:29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</row>
    <row r="30" spans="1:29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</row>
    <row r="31" spans="1:29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</row>
    <row r="32" spans="1:29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</row>
    <row r="33" spans="1:29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</row>
    <row r="34" spans="1:29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</row>
    <row r="35" spans="1:29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</row>
    <row r="36" spans="1:29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</row>
    <row r="37" spans="1:29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</row>
    <row r="38" spans="1:29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</row>
    <row r="39" spans="1:29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</row>
    <row r="40" spans="1:29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</row>
    <row r="41" spans="1:29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</row>
  </sheetData>
  <dataConsolidate/>
  <mergeCells count="11">
    <mergeCell ref="A1:AC3"/>
    <mergeCell ref="B9:G10"/>
    <mergeCell ref="E19:F21"/>
    <mergeCell ref="E11:F13"/>
    <mergeCell ref="A5:B6"/>
    <mergeCell ref="A19:D21"/>
    <mergeCell ref="G11:K13"/>
    <mergeCell ref="L11:Y13"/>
    <mergeCell ref="L19:AB21"/>
    <mergeCell ref="G19:K21"/>
    <mergeCell ref="A11:D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dd_New_Section_Button">
                <anchor moveWithCells="1">
                  <from>
                    <xdr:col>2</xdr:col>
                    <xdr:colOff>228600</xdr:colOff>
                    <xdr:row>4</xdr:row>
                    <xdr:rowOff>9525</xdr:rowOff>
                  </from>
                  <to>
                    <xdr:col>4</xdr:col>
                    <xdr:colOff>276225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d_New_Question">
                <anchor moveWithCells="1">
                  <from>
                    <xdr:col>7</xdr:col>
                    <xdr:colOff>419100</xdr:colOff>
                    <xdr:row>4</xdr:row>
                    <xdr:rowOff>9525</xdr:rowOff>
                  </from>
                  <to>
                    <xdr:col>9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Delete_Question">
                <anchor moveWithCells="1">
                  <from>
                    <xdr:col>12</xdr:col>
                    <xdr:colOff>609600</xdr:colOff>
                    <xdr:row>4</xdr:row>
                    <xdr:rowOff>9525</xdr:rowOff>
                  </from>
                  <to>
                    <xdr:col>15</xdr:col>
                    <xdr:colOff>47625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Delete_Section">
                <anchor moveWithCells="1">
                  <from>
                    <xdr:col>18</xdr:col>
                    <xdr:colOff>180975</xdr:colOff>
                    <xdr:row>4</xdr:row>
                    <xdr:rowOff>19050</xdr:rowOff>
                  </from>
                  <to>
                    <xdr:col>20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Module1.Remove_New_Sect_Add">
                <anchor moveWithCells="1">
                  <from>
                    <xdr:col>23</xdr:col>
                    <xdr:colOff>371475</xdr:colOff>
                    <xdr:row>4</xdr:row>
                    <xdr:rowOff>28575</xdr:rowOff>
                  </from>
                  <to>
                    <xdr:col>25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C8824E-909C-4474-AB45-4227805CB7AE}">
          <x14:formula1>
            <xm:f>_xlfn.ANCHORARRAY(Sheet2!$F$2)</xm:f>
          </x14:formula1>
          <xm:sqref>L19</xm:sqref>
        </x14:dataValidation>
        <x14:dataValidation type="list" allowBlank="1" showInputMessage="1" showErrorMessage="1" xr:uid="{703D2719-18C2-42EC-B34F-61107A13649C}">
          <x14:formula1>
            <xm:f>_xlfn.ANCHORARRAY(Sheet2!$L$2)</xm:f>
          </x14:formula1>
          <xm:sqref>L11:Y13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N30"/>
  <sheetViews>
    <sheetView workbookViewId="0">
      <selection activeCell="C2" sqref="C2"/>
    </sheetView>
  </sheetViews>
  <sheetFormatPr defaultRowHeight="15" x14ac:dyDescent="0.25"/>
  <cols>
    <col min="1" max="1" width="19" bestFit="1" customWidth="1"/>
    <col min="2" max="2" width="88.7109375" bestFit="1" customWidth="1"/>
    <col min="8" max="8" width="11" customWidth="1"/>
    <col min="9" max="9" width="20.5703125" bestFit="1" customWidth="1"/>
  </cols>
  <sheetData>
    <row r="1" spans="1:14" x14ac:dyDescent="0.25">
      <c r="A1" t="s">
        <v>19</v>
      </c>
      <c r="B1" t="s">
        <v>3</v>
      </c>
      <c r="C1" t="s">
        <v>13</v>
      </c>
      <c r="H1" t="s">
        <v>19</v>
      </c>
      <c r="I1" t="s">
        <v>26</v>
      </c>
    </row>
    <row r="2" spans="1:14" x14ac:dyDescent="0.25">
      <c r="A2" s="1" t="s">
        <v>12</v>
      </c>
      <c r="B2" s="1" t="s">
        <v>12</v>
      </c>
      <c r="C2">
        <v>1</v>
      </c>
      <c r="E2" t="str" cm="1">
        <f t="array" ref="E2:E4">Select_Question</f>
        <v>--Select Question--</v>
      </c>
      <c r="F2" t="str" cm="1">
        <f t="array" ref="F2:F29">_xlfn._xlws.FILTER(Sheet2!B2:B33,(ISNUMBER(SEARCH("Section "&amp;'Section Changes'!E11&amp;"*",Sheet2!A2:A33))) + (ISNUMBER(SEARCH("--Select Question--",Sheet2!B2:B33))))</f>
        <v>--Select Question--</v>
      </c>
      <c r="I2" t="str">
        <f>"--Select Section--"</f>
        <v>--Select Section--</v>
      </c>
      <c r="J2" t="str" cm="1">
        <f t="array" ref="J2">_xlfn._xlws.FILTER(Sheet2!I3:I53, (ISNUMBER(SEARCH("Section "&amp;Sheet2!C2&amp;"*",Sheet2!H3:H53))) + (ISNUMBER(SEARCH("--Select Question--",Sheet2!I3:I53))),"")</f>
        <v>Introduction</v>
      </c>
      <c r="L2" t="str" cm="1">
        <f t="array" ref="L2:L11">_xlfn._xlws.FILTER(Sheet2!I2:I39,(ISNUMBER(SEARCH("--Select Section--",Sheet2!I2:I39))) + (ISNUMBER(SEARCH("*",Sheet2!I2:I39))))</f>
        <v>--Select Section--</v>
      </c>
      <c r="N2" t="str" cm="1">
        <f t="array" ref="N2:N11">SectionsList[Name]</f>
        <v>--Select Section--</v>
      </c>
    </row>
    <row r="3" spans="1:14" x14ac:dyDescent="0.25">
      <c r="A3" t="s">
        <v>4</v>
      </c>
      <c r="B3" t="s">
        <v>39</v>
      </c>
      <c r="E3" t="str">
        <v>What would you like to focus on in this session today?</v>
      </c>
      <c r="F3" t="str">
        <v>What would you like to focus on in this session today?</v>
      </c>
      <c r="G3" cm="1">
        <f t="array" ref="G3:G29">_xlfn.SEQUENCE(COUNTA(F:F)-1)</f>
        <v>1</v>
      </c>
      <c r="H3" t="s">
        <v>2</v>
      </c>
      <c r="I3" t="s">
        <v>27</v>
      </c>
      <c r="K3" t="str" cm="1">
        <f t="array" ref="K3:K11">RIGHT(_xlfn._xlws.FILTER(Sheet2!H3:H39,(ISNUMBER(SEARCH("Section *",Sheet2!H3:H39)))), (LEN(_xlfn._xlws.FILTER(Sheet2!H3:H39,(ISNUMBER(SEARCH("Section *",Sheet2!H3:H39))))) - SEARCH(" ",_xlfn._xlws.FILTER(Sheet2!H3:H39,(ISNUMBER(SEARCH("Section *",Sheet2!H3:H39)))))))</f>
        <v>1</v>
      </c>
      <c r="L3" t="str">
        <v>Introduction</v>
      </c>
      <c r="N3" t="str">
        <v>Introduction</v>
      </c>
    </row>
    <row r="4" spans="1:14" x14ac:dyDescent="0.25">
      <c r="A4" t="s">
        <v>5</v>
      </c>
      <c r="B4" t="s">
        <v>40</v>
      </c>
      <c r="E4" t="str">
        <v>Additional Notes</v>
      </c>
      <c r="F4" t="str">
        <v>When you think about your best health, how do you see this being a part of it?</v>
      </c>
      <c r="G4">
        <v>2</v>
      </c>
      <c r="H4" t="s">
        <v>20</v>
      </c>
      <c r="I4" t="s">
        <v>29</v>
      </c>
      <c r="K4" t="str">
        <v>2</v>
      </c>
      <c r="L4" t="str">
        <v>Vision</v>
      </c>
      <c r="N4" t="str">
        <v>Vision</v>
      </c>
    </row>
    <row r="5" spans="1:14" x14ac:dyDescent="0.25">
      <c r="A5" t="s">
        <v>6</v>
      </c>
      <c r="B5" t="s">
        <v>41</v>
      </c>
      <c r="F5" t="str">
        <v>What does making this change make possible in your personal and professional life?</v>
      </c>
      <c r="G5">
        <v>3</v>
      </c>
      <c r="H5" t="s">
        <v>21</v>
      </c>
      <c r="I5" t="s">
        <v>30</v>
      </c>
      <c r="K5" t="str">
        <v>3</v>
      </c>
      <c r="L5" t="str">
        <v>Values</v>
      </c>
      <c r="N5" t="str">
        <v>Values</v>
      </c>
    </row>
    <row r="6" spans="1:14" x14ac:dyDescent="0.25">
      <c r="A6" t="s">
        <v>7</v>
      </c>
      <c r="B6" t="s">
        <v>42</v>
      </c>
      <c r="F6" t="str">
        <v>What is important about making this change?</v>
      </c>
      <c r="G6">
        <v>4</v>
      </c>
      <c r="H6" t="s">
        <v>22</v>
      </c>
      <c r="I6" t="s">
        <v>31</v>
      </c>
      <c r="K6" t="str">
        <v>4</v>
      </c>
      <c r="L6" t="str">
        <v>Assessment</v>
      </c>
      <c r="N6" t="str">
        <v>Assessment</v>
      </c>
    </row>
    <row r="7" spans="1:14" x14ac:dyDescent="0.25">
      <c r="A7" t="s">
        <v>8</v>
      </c>
      <c r="B7" t="s">
        <v>43</v>
      </c>
      <c r="F7" t="str">
        <v>What's the difference between where you are now and where you would like to be in the future?</v>
      </c>
      <c r="G7">
        <v>5</v>
      </c>
      <c r="H7" t="s">
        <v>23</v>
      </c>
      <c r="I7" t="s">
        <v>32</v>
      </c>
      <c r="K7" t="str">
        <v>5</v>
      </c>
      <c r="L7" t="str">
        <v>Importance</v>
      </c>
      <c r="N7" t="str">
        <v>Importance</v>
      </c>
    </row>
    <row r="8" spans="1:14" x14ac:dyDescent="0.25">
      <c r="A8" t="s">
        <v>9</v>
      </c>
      <c r="B8" t="s">
        <v>44</v>
      </c>
      <c r="F8" t="str">
        <v>If nothing changes, what do you think your life would be like in 5 years?</v>
      </c>
      <c r="G8">
        <v>6</v>
      </c>
      <c r="H8" t="s">
        <v>24</v>
      </c>
      <c r="I8" t="s">
        <v>33</v>
      </c>
      <c r="K8" t="str">
        <v>6</v>
      </c>
      <c r="L8" t="str">
        <v>Confidence</v>
      </c>
      <c r="N8" t="str">
        <v>Confidence</v>
      </c>
    </row>
    <row r="9" spans="1:14" x14ac:dyDescent="0.25">
      <c r="A9" t="s">
        <v>10</v>
      </c>
      <c r="B9" t="s">
        <v>45</v>
      </c>
      <c r="F9" t="str">
        <v>What would your life look like in 5 years if you move forward with making this change?</v>
      </c>
      <c r="G9">
        <v>7</v>
      </c>
      <c r="H9" t="s">
        <v>25</v>
      </c>
      <c r="I9" t="s">
        <v>34</v>
      </c>
      <c r="K9" t="str">
        <v>7</v>
      </c>
      <c r="L9" t="str">
        <v>Goal Setting</v>
      </c>
      <c r="N9" t="str">
        <v>Goal Setting</v>
      </c>
    </row>
    <row r="10" spans="1:14" x14ac:dyDescent="0.25">
      <c r="A10" t="s">
        <v>11</v>
      </c>
      <c r="B10" t="s">
        <v>46</v>
      </c>
      <c r="F10" t="str">
        <v>On a scale from 1 - 10, how important is making this change for you?</v>
      </c>
      <c r="G10">
        <v>8</v>
      </c>
      <c r="H10" t="s">
        <v>37</v>
      </c>
      <c r="I10" t="s">
        <v>35</v>
      </c>
      <c r="K10" t="str">
        <v>8</v>
      </c>
      <c r="L10" t="str">
        <v>Preparation for Action</v>
      </c>
      <c r="N10" t="str">
        <v>Preparation for Action</v>
      </c>
    </row>
    <row r="11" spans="1:14" x14ac:dyDescent="0.25">
      <c r="A11" t="s">
        <v>14</v>
      </c>
      <c r="B11" t="s">
        <v>47</v>
      </c>
      <c r="F11" t="str">
        <v>What does that number mean to you?</v>
      </c>
      <c r="G11">
        <v>9</v>
      </c>
      <c r="H11" t="s">
        <v>38</v>
      </c>
      <c r="I11" t="s">
        <v>36</v>
      </c>
      <c r="K11" t="str">
        <v>9</v>
      </c>
      <c r="L11" t="str">
        <v>Wrap Up</v>
      </c>
      <c r="N11" t="str">
        <v>Wrap Up</v>
      </c>
    </row>
    <row r="12" spans="1:14" x14ac:dyDescent="0.25">
      <c r="A12" t="s">
        <v>15</v>
      </c>
      <c r="B12" t="s">
        <v>48</v>
      </c>
      <c r="F12" t="str">
        <v>How confident are you that you can make a difference in this area, on a scale from 1 - 10)?</v>
      </c>
      <c r="G12">
        <v>10</v>
      </c>
    </row>
    <row r="13" spans="1:14" x14ac:dyDescent="0.25">
      <c r="A13" t="s">
        <v>16</v>
      </c>
      <c r="B13" t="s">
        <v>47</v>
      </c>
      <c r="F13" t="str">
        <v>What does that number mean to you?</v>
      </c>
      <c r="G13">
        <v>11</v>
      </c>
    </row>
    <row r="14" spans="1:14" x14ac:dyDescent="0.25">
      <c r="A14" t="s">
        <v>17</v>
      </c>
      <c r="B14" t="s">
        <v>49</v>
      </c>
      <c r="F14" t="str">
        <v>What would it take to make that number higher?</v>
      </c>
      <c r="G14">
        <v>12</v>
      </c>
    </row>
    <row r="15" spans="1:14" x14ac:dyDescent="0.25">
      <c r="A15" t="s">
        <v>18</v>
      </c>
      <c r="B15" t="s">
        <v>50</v>
      </c>
      <c r="F15" t="str">
        <v>What are some strengths that you have that will help you be more successful in making a change?</v>
      </c>
      <c r="G15">
        <v>13</v>
      </c>
    </row>
    <row r="16" spans="1:14" x14ac:dyDescent="0.25">
      <c r="A16" t="s">
        <v>52</v>
      </c>
      <c r="B16" t="s">
        <v>53</v>
      </c>
      <c r="F16" t="str">
        <v>What can you take from your past experiences to help you be successful in making a change?</v>
      </c>
      <c r="G16">
        <v>14</v>
      </c>
    </row>
    <row r="17" spans="1:7" x14ac:dyDescent="0.25">
      <c r="A17" t="s">
        <v>51</v>
      </c>
      <c r="B17" t="s">
        <v>58</v>
      </c>
      <c r="F17" t="str">
        <v>Lets talk about setting a goal, usually we set a 3 - 6 month goal. What works for you?</v>
      </c>
      <c r="G17">
        <v>15</v>
      </c>
    </row>
    <row r="18" spans="1:7" x14ac:dyDescent="0.25">
      <c r="A18" t="s">
        <v>54</v>
      </c>
      <c r="B18" t="s">
        <v>59</v>
      </c>
      <c r="F18" t="str">
        <v>Let's think about some options about steps you can take to reach your goal.</v>
      </c>
      <c r="G18">
        <v>16</v>
      </c>
    </row>
    <row r="19" spans="1:7" x14ac:dyDescent="0.25">
      <c r="A19" t="s">
        <v>55</v>
      </c>
      <c r="B19" t="s">
        <v>60</v>
      </c>
      <c r="F19" t="str">
        <v>What option do you feel you would like to try first?</v>
      </c>
      <c r="G19">
        <v>17</v>
      </c>
    </row>
    <row r="20" spans="1:7" x14ac:dyDescent="0.25">
      <c r="A20" t="s">
        <v>56</v>
      </c>
      <c r="B20" t="s">
        <v>61</v>
      </c>
      <c r="F20" t="str">
        <v>What else?</v>
      </c>
      <c r="G20">
        <v>18</v>
      </c>
    </row>
    <row r="21" spans="1:7" x14ac:dyDescent="0.25">
      <c r="A21" t="s">
        <v>57</v>
      </c>
      <c r="B21" t="s">
        <v>62</v>
      </c>
      <c r="F21" t="str">
        <v>State the goal, what is the first small step that you feel comfortable with taking?</v>
      </c>
      <c r="G21">
        <v>19</v>
      </c>
    </row>
    <row r="22" spans="1:7" x14ac:dyDescent="0.25">
      <c r="A22" t="s">
        <v>63</v>
      </c>
      <c r="B22" t="s">
        <v>71</v>
      </c>
      <c r="F22" t="str">
        <v>What support do you need to hold you accountable to take this first step?</v>
      </c>
      <c r="G22">
        <v>20</v>
      </c>
    </row>
    <row r="23" spans="1:7" x14ac:dyDescent="0.25">
      <c r="A23" t="s">
        <v>64</v>
      </c>
      <c r="B23" t="s">
        <v>72</v>
      </c>
      <c r="F23" t="str">
        <v>What challenges or barriers do you foresee when working towards this goal?</v>
      </c>
      <c r="G23">
        <v>21</v>
      </c>
    </row>
    <row r="24" spans="1:7" x14ac:dyDescent="0.25">
      <c r="A24" t="s">
        <v>65</v>
      </c>
      <c r="B24" t="s">
        <v>73</v>
      </c>
      <c r="F24" t="str">
        <v>If this barrier comes up, what would be a backup plan to keep you on track?</v>
      </c>
      <c r="G24">
        <v>22</v>
      </c>
    </row>
    <row r="25" spans="1:7" x14ac:dyDescent="0.25">
      <c r="A25" t="s">
        <v>66</v>
      </c>
      <c r="B25" t="s">
        <v>74</v>
      </c>
      <c r="F25" t="str">
        <v>Before we started, you said your confidence was a ___. How do you feel now?</v>
      </c>
      <c r="G25">
        <v>23</v>
      </c>
    </row>
    <row r="26" spans="1:7" x14ac:dyDescent="0.25">
      <c r="A26" t="s">
        <v>67</v>
      </c>
      <c r="B26" t="s">
        <v>75</v>
      </c>
      <c r="F26" t="str">
        <v>What is something that you learned about yourself from going through this process?</v>
      </c>
      <c r="G26">
        <v>24</v>
      </c>
    </row>
    <row r="27" spans="1:7" x14ac:dyDescent="0.25">
      <c r="A27" t="s">
        <v>68</v>
      </c>
      <c r="B27" t="s">
        <v>77</v>
      </c>
      <c r="F27" t="str">
        <v>Would you like to meet every couple of weeks?</v>
      </c>
      <c r="G27">
        <v>25</v>
      </c>
    </row>
    <row r="28" spans="1:7" x14ac:dyDescent="0.25">
      <c r="A28" t="s">
        <v>69</v>
      </c>
      <c r="B28" t="s">
        <v>76</v>
      </c>
      <c r="F28" t="str">
        <v>I look forward to checking in with you in a couple of weeks</v>
      </c>
      <c r="G28">
        <v>26</v>
      </c>
    </row>
    <row r="29" spans="1:7" x14ac:dyDescent="0.25">
      <c r="A29" t="s">
        <v>70</v>
      </c>
      <c r="B29" t="s">
        <v>85</v>
      </c>
      <c r="F29" t="str">
        <v>I think that wraps it up for today, thank you for taking the time to talk this through with me.</v>
      </c>
      <c r="G29">
        <v>27</v>
      </c>
    </row>
    <row r="30" spans="1:7" x14ac:dyDescent="0.25">
      <c r="A30" t="str">
        <f>"Additional Notes"</f>
        <v>Additional Notes</v>
      </c>
      <c r="B30" t="str">
        <f>"Additional Notes"</f>
        <v>Additional Notes</v>
      </c>
    </row>
  </sheetData>
  <dataConsolidate/>
  <phoneticPr fontId="1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250D7-23D5-4DE6-9686-7F5B29C86E1A}">
  <sheetPr codeName="Sheet4"/>
  <dimension ref="A1:E2"/>
  <sheetViews>
    <sheetView workbookViewId="0">
      <selection activeCell="C9" sqref="C9"/>
    </sheetView>
  </sheetViews>
  <sheetFormatPr defaultRowHeight="15" x14ac:dyDescent="0.25"/>
  <cols>
    <col min="1" max="5" width="15.42578125" customWidth="1"/>
  </cols>
  <sheetData>
    <row r="1" spans="1:5" x14ac:dyDescent="0.25">
      <c r="A1" t="s">
        <v>81</v>
      </c>
      <c r="B1" t="s">
        <v>83</v>
      </c>
      <c r="C1" t="s">
        <v>78</v>
      </c>
      <c r="D1" t="s">
        <v>79</v>
      </c>
      <c r="E1" t="s">
        <v>80</v>
      </c>
    </row>
    <row r="2" spans="1:5" x14ac:dyDescent="0.25">
      <c r="C2" s="5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FC852-3BA1-46AF-982A-9C337FA429E9}">
  <sheetPr codeName="Sheet6"/>
  <dimension ref="A1:C12"/>
  <sheetViews>
    <sheetView workbookViewId="0">
      <selection activeCell="C5" sqref="C5"/>
    </sheetView>
  </sheetViews>
  <sheetFormatPr defaultRowHeight="15" x14ac:dyDescent="0.25"/>
  <cols>
    <col min="1" max="1" width="11.5703125" customWidth="1"/>
    <col min="2" max="2" width="155.7109375" customWidth="1"/>
    <col min="3" max="3" width="17.42578125" customWidth="1"/>
  </cols>
  <sheetData>
    <row r="1" spans="1:3" x14ac:dyDescent="0.25">
      <c r="A1" t="s">
        <v>87</v>
      </c>
      <c r="B1" t="s">
        <v>88</v>
      </c>
      <c r="C1" t="s">
        <v>93</v>
      </c>
    </row>
    <row r="2" spans="1:3" x14ac:dyDescent="0.25">
      <c r="A2" s="6">
        <v>46239</v>
      </c>
      <c r="B2" t="s">
        <v>89</v>
      </c>
    </row>
    <row r="3" spans="1:3" x14ac:dyDescent="0.25">
      <c r="B3" t="s">
        <v>90</v>
      </c>
      <c r="C3" t="s">
        <v>105</v>
      </c>
    </row>
    <row r="4" spans="1:3" x14ac:dyDescent="0.25">
      <c r="B4" t="s">
        <v>91</v>
      </c>
    </row>
    <row r="5" spans="1:3" x14ac:dyDescent="0.25">
      <c r="B5" t="s">
        <v>92</v>
      </c>
    </row>
    <row r="6" spans="1:3" x14ac:dyDescent="0.25">
      <c r="B6" t="s">
        <v>95</v>
      </c>
    </row>
    <row r="7" spans="1:3" x14ac:dyDescent="0.25">
      <c r="B7" t="s">
        <v>106</v>
      </c>
    </row>
    <row r="8" spans="1:3" x14ac:dyDescent="0.25">
      <c r="B8" t="s">
        <v>100</v>
      </c>
    </row>
    <row r="9" spans="1:3" x14ac:dyDescent="0.25">
      <c r="B9" t="s">
        <v>102</v>
      </c>
      <c r="C9" t="s">
        <v>108</v>
      </c>
    </row>
    <row r="10" spans="1:3" x14ac:dyDescent="0.25">
      <c r="B10" t="s">
        <v>103</v>
      </c>
    </row>
    <row r="11" spans="1:3" x14ac:dyDescent="0.25">
      <c r="B11" t="s">
        <v>104</v>
      </c>
      <c r="C11" t="s">
        <v>108</v>
      </c>
    </row>
    <row r="12" spans="1:3" x14ac:dyDescent="0.25">
      <c r="B12" t="s">
        <v>107</v>
      </c>
      <c r="C12" t="s">
        <v>108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 Sheet</vt:lpstr>
      <vt:lpstr>Master Sheet</vt:lpstr>
      <vt:lpstr>Section Changes</vt:lpstr>
      <vt:lpstr>Sheet2</vt:lpstr>
      <vt:lpstr>Session Logs</vt:lpstr>
      <vt:lpstr>Dev. Notes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Wesley Matthews</cp:lastModifiedBy>
  <cp:lastPrinted>2026-08-28T16:01:27Z</cp:lastPrinted>
  <dcterms:created xsi:type="dcterms:W3CDTF">2026-04-15T22:06:26Z</dcterms:created>
  <dcterms:modified xsi:type="dcterms:W3CDTF">2026-09-03T01:16:23Z</dcterms:modified>
</cp:coreProperties>
</file>