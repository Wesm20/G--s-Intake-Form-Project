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plahw-my.sharepoint.com/personal/wmatthews_aplahealth_org/Documents/Desktop/"/>
    </mc:Choice>
  </mc:AlternateContent>
  <xr:revisionPtr revIDLastSave="70" documentId="13_ncr:1_{541EFC81-9ED1-4C09-B32B-52EFDE6D8617}" xr6:coauthVersionLast="47" xr6:coauthVersionMax="47" xr10:uidLastSave="{23BEE479-8853-4170-9BDE-E70D5B1CDE8A}"/>
  <bookViews>
    <workbookView xWindow="-120" yWindow="-120" windowWidth="29040" windowHeight="15720" xr2:uid="{35648F50-1E46-4481-9456-B9FCFCEA0C9E}"/>
  </bookViews>
  <sheets>
    <sheet name="Main Sheet" sheetId="1" r:id="rId1"/>
    <sheet name="Master Sheet" sheetId="5" r:id="rId2"/>
    <sheet name="Sheet2" sheetId="2" r:id="rId3"/>
    <sheet name="Sheet4" sheetId="4" r:id="rId4"/>
    <sheet name="Section Changes" sheetId="6" r:id="rId5"/>
  </sheets>
  <functionGroups builtInGroupCount="19"/>
  <definedNames>
    <definedName name="currQList">_xlfn.ANCHORARRAY(Sheet2!$E$2)</definedName>
    <definedName name="Select_Question">_xlfn._xlws.FILTER(Sheet2!XFB1:XFB50,(ISNUMBER(SEARCH("Section "&amp;Sheet2!XFC1&amp;"*",Sheet2!XFA1:XFA50))) + (ISNUMBER(SEARCH("--Select Question--",Sheet2!XFB1:XFB50)))+(ISNUMBER(SEARCH("Additional Notes",Sheet2!XFB1:XFB50))))</definedName>
    <definedName name="Select_Section">_xlfn._xlws.FILTER(Sheet2!XFD1:XFD50, (ISNUMBER(SEARCH("Section "&amp;Sheet2!XEX1&amp;"*",Sheet2!XFC1:XFC50))) + (ISNUMBER(SEARCH("--Select Question--",Sheet2!XFD1:XFD50))),"")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5" l="1"/>
  <c r="B30" i="2"/>
  <c r="A30" i="2"/>
  <c r="H4" i="4" s="1" a="1"/>
  <c r="H4" i="4" s="1"/>
  <c r="J2" i="2" a="1"/>
  <c r="J2" i="2" s="1"/>
  <c r="C3" i="4"/>
  <c r="C15" i="4" a="1"/>
  <c r="C15" i="4" s="1"/>
  <c r="E3" i="4" l="1" a="1"/>
  <c r="E3" i="4" s="1"/>
  <c r="C4" i="4" a="1"/>
  <c r="C4" i="4" s="1"/>
  <c r="E2" i="2" a="1"/>
  <c r="E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<sst xmlns="http://schemas.openxmlformats.org/spreadsheetml/2006/main" count="94" uniqueCount="89">
  <si>
    <t xml:space="preserve">Date: </t>
  </si>
  <si>
    <t>Session #:</t>
  </si>
  <si>
    <t>Section 1</t>
  </si>
  <si>
    <t>Questions</t>
  </si>
  <si>
    <t>Section 1 Question 1</t>
  </si>
  <si>
    <t>Section 2 Question 1</t>
  </si>
  <si>
    <t>Section 2 Question 2</t>
  </si>
  <si>
    <t>Section 3 Question 1</t>
  </si>
  <si>
    <t>Section 4 Question 1</t>
  </si>
  <si>
    <t>Section 4 Question 2</t>
  </si>
  <si>
    <t>Section 4 Question 3</t>
  </si>
  <si>
    <t>TEST SECTION</t>
  </si>
  <si>
    <t>Section 5 Question 1</t>
  </si>
  <si>
    <t>--Select Question--</t>
  </si>
  <si>
    <t>Current Section</t>
  </si>
  <si>
    <t>Section 5 Question 2</t>
  </si>
  <si>
    <t>Section 6 Question 1</t>
  </si>
  <si>
    <t>Section 6 Question 2</t>
  </si>
  <si>
    <t>Section 6 Question 3</t>
  </si>
  <si>
    <t>Section 6 Question 4</t>
  </si>
  <si>
    <t>Sections</t>
  </si>
  <si>
    <t>Section 2</t>
  </si>
  <si>
    <t>Section 3</t>
  </si>
  <si>
    <t>Section 4</t>
  </si>
  <si>
    <t>Section 5</t>
  </si>
  <si>
    <t>Section 6</t>
  </si>
  <si>
    <t>Section 7</t>
  </si>
  <si>
    <t>Name</t>
  </si>
  <si>
    <t>Introduction</t>
  </si>
  <si>
    <t>ID:</t>
  </si>
  <si>
    <t>Vision</t>
  </si>
  <si>
    <t>Values</t>
  </si>
  <si>
    <t>Assessment</t>
  </si>
  <si>
    <t>Importance</t>
  </si>
  <si>
    <t>Confidence</t>
  </si>
  <si>
    <t>Goal Setting</t>
  </si>
  <si>
    <t>Preparation for Action</t>
  </si>
  <si>
    <t>Wrap Up</t>
  </si>
  <si>
    <t>Section 8</t>
  </si>
  <si>
    <t>Section 9</t>
  </si>
  <si>
    <t>What would you like to focus on in this session today?</t>
  </si>
  <si>
    <t>When you think about your best health, how do you see this being a part of it?</t>
  </si>
  <si>
    <t>What does making this change make possible in your personal and professional life?</t>
  </si>
  <si>
    <t>What is important about making this change?</t>
  </si>
  <si>
    <t>What's the difference between where you are now and where you would like to be in the future?</t>
  </si>
  <si>
    <t>If nothing changes, what do you think your life would be like in 5 years?</t>
  </si>
  <si>
    <t>What would your life look like in 5 years if you move forward with making this change?</t>
  </si>
  <si>
    <t>On a scale from 1 - 10, how important is making this change for you?</t>
  </si>
  <si>
    <t>What does that number mean to you?</t>
  </si>
  <si>
    <t>How confident are you that you can make a difference in this area, on a scale from 1 - 10)?</t>
  </si>
  <si>
    <t>What would it take to make that number higher?</t>
  </si>
  <si>
    <t>What are some strengths that you have that will help you be more successful in making a change?</t>
  </si>
  <si>
    <t>Section 7 Question 1</t>
  </si>
  <si>
    <t>Section 6 Question 5</t>
  </si>
  <si>
    <t>What can you take from your past experiences to help you be successful in making a change?</t>
  </si>
  <si>
    <t>Section 7 Question 2</t>
  </si>
  <si>
    <t>Section 7 Question 3</t>
  </si>
  <si>
    <t>Section 7 Question 4</t>
  </si>
  <si>
    <t>Section 7 Question 5</t>
  </si>
  <si>
    <t>Lets talk about setting a goal, usually we set a 3 - 6 month goal. What works for you?</t>
  </si>
  <si>
    <t>Let's think about some options about steps you can take to reach your goal.</t>
  </si>
  <si>
    <t>What option do you feel you would like to try first?</t>
  </si>
  <si>
    <t>What else?</t>
  </si>
  <si>
    <t>State the goal, what is the first small step that you feel comfortable with taking?</t>
  </si>
  <si>
    <t>Section 8 Question 1</t>
  </si>
  <si>
    <t>Section 8 Question 2</t>
  </si>
  <si>
    <t>Section 8 Question 3</t>
  </si>
  <si>
    <t>Section 9 Question 1</t>
  </si>
  <si>
    <t>Section 9 Question 2</t>
  </si>
  <si>
    <t>Section 9 Question 3</t>
  </si>
  <si>
    <t>Section 9 Question 4</t>
  </si>
  <si>
    <t>Section 9 Question 5</t>
  </si>
  <si>
    <t>What support do you need to hold you accountable to take this first step?</t>
  </si>
  <si>
    <t>What challenges or barriers do you foresee when working towards this goal?</t>
  </si>
  <si>
    <t>If this barrier comes up, what would be a backup plan to keep you on track?</t>
  </si>
  <si>
    <t>Before we started, you said your confidence was a ___. How do you feel now?</t>
  </si>
  <si>
    <t>What is something that you learned about yourself from going through this process?</t>
  </si>
  <si>
    <t>I look forward to checking in with you in a couple of weeks</t>
  </si>
  <si>
    <t>Would you like to meet every couple of weeks?</t>
  </si>
  <si>
    <t>ID</t>
  </si>
  <si>
    <t>Session Date</t>
  </si>
  <si>
    <t>Session Num</t>
  </si>
  <si>
    <t>Full Name</t>
  </si>
  <si>
    <t>Name:</t>
  </si>
  <si>
    <t>Client Initials</t>
  </si>
  <si>
    <t>Wesley Matthews</t>
  </si>
  <si>
    <t>Modify Sections and Questions</t>
  </si>
  <si>
    <t>I think that wraps it up for today, thank you for taking the time to talk this through with me.</t>
  </si>
  <si>
    <t>I need 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</si>
</sst>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#"/>
  </numFmts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.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.8"/>
      <color theme="1"/>
      <name val="Aptos Narrow"/>
      <family val="2"/>
      <scheme val="minor"/>
    </font>
    <font>
      <sz val="6.5"/>
      <color rgb="FF000000"/>
      <name val="Aptos Narrow"/>
      <family val="2"/>
    </font>
    <font>
      <sz val="9"/>
      <color rgb="FF000000"/>
      <name val="Aptos Narrow"/>
      <family val="2"/>
    </font>
    <font>
      <sz val="20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/>
    <xf numFmtId="164" fontId="0" fillId="0" borderId="0" xfId="0" applyNumberFormat="1"/>
    <xf numFmtId="0" fontId="0" fillId="0" borderId="0" xfId="0" applyAlignment="1">
      <alignment wrapText="1"/>
    </xf>
    <xf numFmtId="0" fontId="5" fillId="0" borderId="0" xfId="0" applyFont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0" fillId="2" borderId="0" xfId="0" applyFill="1"/>
    <xf numFmtId="0" fontId="1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10" fillId="2" borderId="6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0" fillId="2" borderId="9" xfId="0" applyFont="1" applyFill="1" applyBorder="1" applyAlignment="1">
      <alignment horizontal="center"/>
    </xf>
    <xf numFmtId="0" fontId="0" fillId="2" borderId="0" xfId="0" applyFill="1" applyAlignment="1"/>
    <xf numFmtId="0" fontId="9" fillId="2" borderId="0" xfId="0" applyFont="1" applyFill="1"/>
  </cellXfs>
  <cellStyles count="1">
    <cellStyle name="Normal" xfId="0" builtinId="0"/>
  </cellStyles>
  <dxfs count="1">
    <dxf>
      <numFmt numFmtId="164" formatCode="0000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0</xdr:row>
          <xdr:rowOff>66675</xdr:rowOff>
        </xdr:from>
        <xdr:to>
          <xdr:col>22</xdr:col>
          <xdr:colOff>428625</xdr:colOff>
          <xdr:row>2</xdr:row>
          <xdr:rowOff>19050</xdr:rowOff>
        </xdr:to>
        <xdr:sp macro="" textlink="">
          <xdr:nvSpPr>
            <xdr:cNvPr id="1031" name="Save 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2</xdr:row>
          <xdr:rowOff>66675</xdr:rowOff>
        </xdr:from>
        <xdr:to>
          <xdr:col>22</xdr:col>
          <xdr:colOff>419100</xdr:colOff>
          <xdr:row>4</xdr:row>
          <xdr:rowOff>19050</xdr:rowOff>
        </xdr:to>
        <xdr:sp macro="" textlink="">
          <xdr:nvSpPr>
            <xdr:cNvPr id="1032" name="Reset Shee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238125</xdr:colOff>
          <xdr:row>3</xdr:row>
          <xdr:rowOff>38100</xdr:rowOff>
        </xdr:from>
        <xdr:to>
          <xdr:col>16</xdr:col>
          <xdr:colOff>352425</xdr:colOff>
          <xdr:row>3</xdr:row>
          <xdr:rowOff>171450</xdr:rowOff>
        </xdr:to>
        <xdr:sp macro="" textlink="">
          <xdr:nvSpPr>
            <xdr:cNvPr id="1330" name="Add Today Da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50" b="0" i="0" u="none" strike="noStrike" baseline="0">
                  <a:solidFill>
                    <a:srgbClr val="000000"/>
                  </a:solidFill>
                  <a:latin typeface="Aptos Narrow"/>
                </a:rPr>
                <a:t>Remove Today's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27215</xdr:colOff>
      <xdr:row>6</xdr:row>
      <xdr:rowOff>19232</xdr:rowOff>
    </xdr:from>
    <xdr:to>
      <xdr:col>20</xdr:col>
      <xdr:colOff>304801</xdr:colOff>
      <xdr:row>10</xdr:row>
      <xdr:rowOff>185920</xdr:rowOff>
    </xdr:to>
    <xdr:sp macro="" textlink="">
      <xdr:nvSpPr>
        <xdr:cNvPr id="45" name="Sect1 Q1">
          <a:extLst>
            <a:ext uri="{FF2B5EF4-FFF2-40B4-BE49-F238E27FC236}">
              <a16:creationId xmlns:a16="http://schemas.microsoft.com/office/drawing/2014/main" id="{9C6B8894-E0C3-479B-BD5C-1ACC2E5D23F8}"/>
            </a:ext>
          </a:extLst>
        </xdr:cNvPr>
        <xdr:cNvSpPr txBox="1"/>
      </xdr:nvSpPr>
      <xdr:spPr>
        <a:xfrm>
          <a:off x="27215" y="1162232"/>
          <a:ext cx="6003472" cy="9286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28575</xdr:rowOff>
        </xdr:from>
        <xdr:to>
          <xdr:col>1</xdr:col>
          <xdr:colOff>228600</xdr:colOff>
          <xdr:row>11</xdr:row>
          <xdr:rowOff>161925</xdr:rowOff>
        </xdr:to>
        <xdr:sp macro="" textlink="">
          <xdr:nvSpPr>
            <xdr:cNvPr id="1929" name="NextQButn1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0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1</xdr:col>
          <xdr:colOff>0</xdr:colOff>
          <xdr:row>11</xdr:row>
          <xdr:rowOff>161925</xdr:rowOff>
        </xdr:to>
        <xdr:sp macro="" textlink="">
          <xdr:nvSpPr>
            <xdr:cNvPr id="1947" name="AddNewSectButn1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0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++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EFA35C-AA3E-4875-B0A1-EFAEC6D9710F}" name="Table2" displayName="Table2" ref="A1:E2" totalsRowShown="0">
  <autoFilter ref="A1:E2" xr:uid="{D7EFA35C-AA3E-4875-B0A1-EFAEC6D9710F}"/>
  <tableColumns count="5">
    <tableColumn id="1" xr3:uid="{D72899BA-419B-43D2-B6E2-A6C7DF3CF018}" name="Full Name"/>
    <tableColumn id="5" xr3:uid="{7FE88BD1-4B93-4121-A8D8-4DA55A698751}" name="Client Initials">
      <calculatedColumnFormula>IF(Table2[[#This Row],[Full Name]]&lt;&gt;"",LEFT(Table2[[#This Row],[Full Name]],2) &amp; " " &amp; LEFT(RIGHT(Table2[[#This Row],[Full Name]],(SEARCH(" ",Table2[[#This Row],[Full Name]]) + 1)),3),"")</calculatedColumnFormula>
    </tableColumn>
    <tableColumn id="2" xr3:uid="{902AF079-4133-4423-8B89-80F45FA4495C}" name="ID" dataDxfId="0"/>
    <tableColumn id="3" xr3:uid="{D5B5CF77-48F1-4580-BB23-8180B50C3AE3}" name="Session Date"/>
    <tableColumn id="4" xr3:uid="{7E34B7CA-C135-4F53-B39D-47CEF7E523C9}" name="Session Nu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AE23-4D25-4E89-A7DC-B6E53C2F70CD}">
  <sheetPr codeName="Sheet1"/>
  <dimension ref="A3:U6"/>
  <sheetViews>
    <sheetView showGridLines="0" tabSelected="1" zoomScale="190" zoomScaleNormal="190" workbookViewId="0">
      <selection activeCell="C6" sqref="C6:U6"/>
    </sheetView>
  </sheetViews>
  <sheetFormatPr defaultRowHeight="15" x14ac:dyDescent="0.25"/>
  <cols>
    <col min="1" max="2" width="3.7109375" customWidth="1"/>
    <col min="3" max="3" width="4" customWidth="1"/>
    <col min="4" max="4" width="3.85546875" customWidth="1"/>
    <col min="5" max="5" width="8.7109375" customWidth="1"/>
    <col min="6" max="7" width="4.42578125" customWidth="1"/>
    <col min="8" max="10" width="4" customWidth="1"/>
    <col min="11" max="14" width="2.85546875" customWidth="1"/>
    <col min="15" max="15" width="6.85546875" customWidth="1"/>
    <col min="16" max="16" width="3.42578125" customWidth="1"/>
    <col min="17" max="17" width="5.42578125" customWidth="1"/>
    <col min="18" max="19" width="2.42578125" customWidth="1"/>
    <col min="20" max="20" width="9.28515625" customWidth="1"/>
    <col min="21" max="21" width="4.85546875" customWidth="1"/>
    <col min="22" max="22" width="8.7109375" customWidth="1"/>
    <col min="24" max="24" width="13.140625" bestFit="1" customWidth="1"/>
  </cols>
  <sheetData>
    <row r="3" spans="1:21" x14ac:dyDescent="0.25">
      <c r="A3" s="4" t="s">
        <v>83</v>
      </c>
      <c r="B3" s="1"/>
      <c r="C3" s="10" t="s">
        <v>85</v>
      </c>
      <c r="D3" s="10"/>
      <c r="E3" s="10"/>
      <c r="F3" s="10"/>
      <c r="G3" s="10"/>
      <c r="H3" s="10"/>
      <c r="I3" s="10"/>
      <c r="K3" s="4" t="s">
        <v>29</v>
      </c>
      <c r="L3" s="11"/>
      <c r="M3" s="11"/>
      <c r="O3" s="4" t="s">
        <v>0</v>
      </c>
      <c r="P3" s="9">
        <v>46234</v>
      </c>
      <c r="Q3" s="10"/>
      <c r="R3" s="10"/>
      <c r="T3" s="5" t="s">
        <v>1</v>
      </c>
      <c r="U3" s="3">
        <v>1</v>
      </c>
    </row>
    <row r="5" spans="1:21" x14ac:dyDescent="0.25">
      <c r="B5" s="8" t="s">
        <v>28</v>
      </c>
      <c r="C5" s="8"/>
      <c r="D5" s="8"/>
      <c r="E5" s="8"/>
      <c r="F5" s="8"/>
    </row>
    <row r="6" spans="1:21" ht="15" customHeight="1" x14ac:dyDescent="0.25">
      <c r="C6" s="7" t="s">
        <v>13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</row>
  </sheetData>
  <sheetProtection selectLockedCells="1"/>
  <dataConsolidate/>
  <mergeCells count="5">
    <mergeCell ref="C6:U6"/>
    <mergeCell ref="B5:F5"/>
    <mergeCell ref="P3:R3"/>
    <mergeCell ref="C3:I3"/>
    <mergeCell ref="L3:M3"/>
  </mergeCells>
  <pageMargins left="0.7" right="0.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ave Sheet">
              <controlPr defaultSize="0" print="0" autoFill="0" autoPict="0" macro="[0]!SaveFileAs">
                <anchor>
                  <from>
                    <xdr:col>21</xdr:col>
                    <xdr:colOff>114300</xdr:colOff>
                    <xdr:row>0</xdr:row>
                    <xdr:rowOff>66675</xdr:rowOff>
                  </from>
                  <to>
                    <xdr:col>22</xdr:col>
                    <xdr:colOff>428625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Reset Sheet">
              <controlPr defaultSize="0" print="0" autoFill="0" autoPict="0" macro="[0]!ResetDoc">
                <anchor>
                  <from>
                    <xdr:col>21</xdr:col>
                    <xdr:colOff>114300</xdr:colOff>
                    <xdr:row>2</xdr:row>
                    <xdr:rowOff>66675</xdr:rowOff>
                  </from>
                  <to>
                    <xdr:col>22</xdr:col>
                    <xdr:colOff>419100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6" name="Add Today Date">
              <controlPr defaultSize="0" print="0" autoFill="0" autoPict="0" macro="[0]!AddTodayDate">
                <anchor>
                  <from>
                    <xdr:col>14</xdr:col>
                    <xdr:colOff>238125</xdr:colOff>
                    <xdr:row>3</xdr:row>
                    <xdr:rowOff>38100</xdr:rowOff>
                  </from>
                  <to>
                    <xdr:col>16</xdr:col>
                    <xdr:colOff>352425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7" name="NextQButn1">
              <controlPr defaultSize="0" print="0" autoFill="0" autoPict="0" macro="[0]!NextQButton">
                <anchor moveWithCells="1" sizeWithCells="1">
                  <from>
                    <xdr:col>1</xdr:col>
                    <xdr:colOff>9525</xdr:colOff>
                    <xdr:row>11</xdr:row>
                    <xdr:rowOff>28575</xdr:rowOff>
                  </from>
                  <to>
                    <xdr:col>1</xdr:col>
                    <xdr:colOff>228600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8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1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803DF9-FA09-46CD-B101-49DF466F5A27}">
          <x14:formula1>
            <xm:f>_xlfn.ANCHORARRAY(Sheet2!$E$2)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F398-6A98-4D40-ACCD-79D1B5DC0536}">
  <sheetPr codeName="Sheet5"/>
  <dimension ref="A1:E2"/>
  <sheetViews>
    <sheetView workbookViewId="0">
      <selection activeCell="C3" sqref="C3"/>
    </sheetView>
  </sheetViews>
  <sheetFormatPr defaultRowHeight="15" x14ac:dyDescent="0.25"/>
  <cols>
    <col min="1" max="1" width="14.42578125" customWidth="1"/>
    <col min="2" max="2" width="9.140625" customWidth="1"/>
    <col min="3" max="4" width="15" customWidth="1"/>
  </cols>
  <sheetData>
    <row r="1" spans="1:5" x14ac:dyDescent="0.25">
      <c r="A1" t="s">
        <v>82</v>
      </c>
      <c r="B1" t="s">
        <v>84</v>
      </c>
      <c r="C1" t="s">
        <v>79</v>
      </c>
      <c r="D1" t="s">
        <v>80</v>
      </c>
      <c r="E1" t="s">
        <v>81</v>
      </c>
    </row>
    <row r="2" spans="1:5" x14ac:dyDescent="0.25">
      <c r="B2" t="str">
        <f>IF(Table2[[#This Row],[Full Name]]&lt;&gt;"",LEFT(Table2[[#This Row],[Full Name]],2) &amp; " " &amp; LEFT(RIGHT(Table2[[#This Row],[Full Name]],(SEARCH(" ",Table2[[#This Row],[Full Name]]) + 1)),3),"")</f>
        <v/>
      </c>
      <c r="C2" s="6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9140-C082-4088-A0E6-B839A2C20363}">
  <sheetPr codeName="Sheet2"/>
  <dimension ref="A1:J30"/>
  <sheetViews>
    <sheetView workbookViewId="0">
      <selection activeCell="B31" sqref="B31"/>
    </sheetView>
  </sheetViews>
  <sheetFormatPr defaultRowHeight="15" x14ac:dyDescent="0.25"/>
  <cols>
    <col min="1" max="1" width="19" bestFit="1" customWidth="1"/>
    <col min="2" max="2" width="88.7109375" bestFit="1" customWidth="1"/>
  </cols>
  <sheetData>
    <row r="1" spans="1:10" x14ac:dyDescent="0.25">
      <c r="A1" t="s">
        <v>3</v>
      </c>
      <c r="C1" t="s">
        <v>14</v>
      </c>
      <c r="H1" t="s">
        <v>20</v>
      </c>
      <c r="I1" t="s">
        <v>27</v>
      </c>
    </row>
    <row r="2" spans="1:10" x14ac:dyDescent="0.25">
      <c r="A2" s="2" t="s">
        <v>13</v>
      </c>
      <c r="B2" s="2" t="s">
        <v>13</v>
      </c>
      <c r="C2">
        <v>1</v>
      </c>
      <c r="E2" t="str" cm="1">
        <f t="array" ref="E2:E4">Select_Question</f>
        <v>--Select Question--</v>
      </c>
      <c r="H2" t="s">
        <v>2</v>
      </c>
      <c r="I2" t="s">
        <v>28</v>
      </c>
      <c r="J2" t="str" cm="1">
        <f t="array" ref="J2">_xlfn._xlws.FILTER(Sheet2!I2:I65, (ISNUMBER(SEARCH("Section "&amp;Sheet2!C2&amp;"*",Sheet2!H2:H65))) + (ISNUMBER(SEARCH("--Select Question--",Sheet2!I2:I65))),"")</f>
        <v>Introduction</v>
      </c>
    </row>
    <row r="3" spans="1:10" x14ac:dyDescent="0.25">
      <c r="A3" t="s">
        <v>4</v>
      </c>
      <c r="B3" t="s">
        <v>40</v>
      </c>
      <c r="E3" t="str">
        <v>What would you like to focus on in this session today?</v>
      </c>
      <c r="H3" t="s">
        <v>21</v>
      </c>
      <c r="I3" t="s">
        <v>30</v>
      </c>
    </row>
    <row r="4" spans="1:10" x14ac:dyDescent="0.25">
      <c r="A4" t="s">
        <v>5</v>
      </c>
      <c r="B4" t="s">
        <v>41</v>
      </c>
      <c r="E4" t="str">
        <v>Additional Notes</v>
      </c>
      <c r="H4" t="s">
        <v>22</v>
      </c>
      <c r="I4" t="s">
        <v>31</v>
      </c>
    </row>
    <row r="5" spans="1:10" x14ac:dyDescent="0.25">
      <c r="A5" t="s">
        <v>6</v>
      </c>
      <c r="B5" t="s">
        <v>42</v>
      </c>
      <c r="H5" t="s">
        <v>23</v>
      </c>
      <c r="I5" t="s">
        <v>32</v>
      </c>
    </row>
    <row r="6" spans="1:10" x14ac:dyDescent="0.25">
      <c r="A6" t="s">
        <v>7</v>
      </c>
      <c r="B6" t="s">
        <v>43</v>
      </c>
      <c r="H6" t="s">
        <v>24</v>
      </c>
      <c r="I6" t="s">
        <v>33</v>
      </c>
    </row>
    <row r="7" spans="1:10" x14ac:dyDescent="0.25">
      <c r="A7" t="s">
        <v>8</v>
      </c>
      <c r="B7" t="s">
        <v>44</v>
      </c>
      <c r="H7" t="s">
        <v>25</v>
      </c>
      <c r="I7" t="s">
        <v>34</v>
      </c>
    </row>
    <row r="8" spans="1:10" x14ac:dyDescent="0.25">
      <c r="A8" t="s">
        <v>9</v>
      </c>
      <c r="B8" t="s">
        <v>45</v>
      </c>
      <c r="H8" t="s">
        <v>26</v>
      </c>
      <c r="I8" t="s">
        <v>35</v>
      </c>
    </row>
    <row r="9" spans="1:10" x14ac:dyDescent="0.25">
      <c r="A9" t="s">
        <v>10</v>
      </c>
      <c r="B9" t="s">
        <v>46</v>
      </c>
      <c r="H9" t="s">
        <v>38</v>
      </c>
      <c r="I9" t="s">
        <v>36</v>
      </c>
    </row>
    <row r="10" spans="1:10" x14ac:dyDescent="0.25">
      <c r="A10" t="s">
        <v>12</v>
      </c>
      <c r="B10" t="s">
        <v>47</v>
      </c>
      <c r="H10" t="s">
        <v>39</v>
      </c>
      <c r="I10" t="s">
        <v>37</v>
      </c>
    </row>
    <row r="11" spans="1:10" x14ac:dyDescent="0.25">
      <c r="A11" t="s">
        <v>15</v>
      </c>
      <c r="B11" t="s">
        <v>48</v>
      </c>
    </row>
    <row r="12" spans="1:10" x14ac:dyDescent="0.25">
      <c r="A12" t="s">
        <v>16</v>
      </c>
      <c r="B12" t="s">
        <v>49</v>
      </c>
    </row>
    <row r="13" spans="1:10" x14ac:dyDescent="0.25">
      <c r="A13" t="s">
        <v>17</v>
      </c>
      <c r="B13" t="s">
        <v>48</v>
      </c>
    </row>
    <row r="14" spans="1:10" x14ac:dyDescent="0.25">
      <c r="A14" t="s">
        <v>18</v>
      </c>
      <c r="B14" t="s">
        <v>50</v>
      </c>
    </row>
    <row r="15" spans="1:10" x14ac:dyDescent="0.25">
      <c r="A15" t="s">
        <v>19</v>
      </c>
      <c r="B15" t="s">
        <v>51</v>
      </c>
    </row>
    <row r="16" spans="1:10" x14ac:dyDescent="0.25">
      <c r="A16" t="s">
        <v>53</v>
      </c>
      <c r="B16" t="s">
        <v>54</v>
      </c>
    </row>
    <row r="17" spans="1:2" x14ac:dyDescent="0.25">
      <c r="A17" t="s">
        <v>52</v>
      </c>
      <c r="B17" t="s">
        <v>59</v>
      </c>
    </row>
    <row r="18" spans="1:2" x14ac:dyDescent="0.25">
      <c r="A18" t="s">
        <v>55</v>
      </c>
      <c r="B18" t="s">
        <v>60</v>
      </c>
    </row>
    <row r="19" spans="1:2" x14ac:dyDescent="0.25">
      <c r="A19" t="s">
        <v>56</v>
      </c>
      <c r="B19" t="s">
        <v>61</v>
      </c>
    </row>
    <row r="20" spans="1:2" x14ac:dyDescent="0.25">
      <c r="A20" t="s">
        <v>57</v>
      </c>
      <c r="B20" t="s">
        <v>62</v>
      </c>
    </row>
    <row r="21" spans="1:2" x14ac:dyDescent="0.25">
      <c r="A21" t="s">
        <v>58</v>
      </c>
      <c r="B21" t="s">
        <v>63</v>
      </c>
    </row>
    <row r="22" spans="1:2" x14ac:dyDescent="0.25">
      <c r="A22" t="s">
        <v>64</v>
      </c>
      <c r="B22" t="s">
        <v>72</v>
      </c>
    </row>
    <row r="23" spans="1:2" x14ac:dyDescent="0.25">
      <c r="A23" t="s">
        <v>65</v>
      </c>
      <c r="B23" t="s">
        <v>73</v>
      </c>
    </row>
    <row r="24" spans="1:2" x14ac:dyDescent="0.25">
      <c r="A24" t="s">
        <v>66</v>
      </c>
      <c r="B24" t="s">
        <v>74</v>
      </c>
    </row>
    <row r="25" spans="1:2" x14ac:dyDescent="0.25">
      <c r="A25" t="s">
        <v>67</v>
      </c>
      <c r="B25" t="s">
        <v>75</v>
      </c>
    </row>
    <row r="26" spans="1:2" x14ac:dyDescent="0.25">
      <c r="A26" t="s">
        <v>68</v>
      </c>
      <c r="B26" t="s">
        <v>76</v>
      </c>
    </row>
    <row r="27" spans="1:2" x14ac:dyDescent="0.25">
      <c r="A27" t="s">
        <v>69</v>
      </c>
      <c r="B27" t="s">
        <v>78</v>
      </c>
    </row>
    <row r="28" spans="1:2" x14ac:dyDescent="0.25">
      <c r="A28" t="s">
        <v>70</v>
      </c>
      <c r="B28" t="s">
        <v>77</v>
      </c>
    </row>
    <row r="29" spans="1:2" x14ac:dyDescent="0.25">
      <c r="A29" t="s">
        <v>71</v>
      </c>
      <c r="B29" t="s">
        <v>87</v>
      </c>
    </row>
    <row r="30" spans="1:2" x14ac:dyDescent="0.25">
      <c r="A30" t="str">
        <f>"Additional Notes"</f>
        <v>Additional Notes</v>
      </c>
      <c r="B30" t="str">
        <f>"Additional Notes"</f>
        <v>Additional Notes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47F88-B1C1-418C-B7D7-112A709EF50A}">
  <sheetPr codeName="Sheet4"/>
  <dimension ref="A2:H30"/>
  <sheetViews>
    <sheetView workbookViewId="0">
      <selection activeCell="C4" sqref="C4"/>
    </sheetView>
  </sheetViews>
  <sheetFormatPr defaultRowHeight="15" x14ac:dyDescent="0.25"/>
  <sheetData>
    <row r="2" spans="1:8" x14ac:dyDescent="0.25">
      <c r="A2" t="s">
        <v>11</v>
      </c>
      <c r="B2" t="s">
        <v>2</v>
      </c>
    </row>
    <row r="3" spans="1:8" x14ac:dyDescent="0.25">
      <c r="C3">
        <f>COUNTIF(Sheet2!A3:A15,"=" &amp; B2 &amp; "*")</f>
        <v>1</v>
      </c>
      <c r="E3" t="str" cm="1">
        <f t="array" aca="1" ref="E3:E30" ca="1">OFFSET(Sheet2!A3,0,0,COUNTA(Sheet2!$A$3:$A$48),1)</f>
        <v>Section 1 Question 1</v>
      </c>
    </row>
    <row r="4" spans="1:8" x14ac:dyDescent="0.25">
      <c r="C4" t="str" cm="1">
        <f t="array" aca="1" ref="C4" ca="1">_xlfn._xlws.FILTER(OFFSET(Sheet2!$A$2,0,0,COUNTA(Sheet2!$A$2:$A$48),1),(ISNUMBER(SEARCH("Section "&amp; Sheet2!$C$2 &amp;"*",OFFSET(Sheet2!$A$2,0,1,COUNTA(Sheet2!$A$2:$A$48),1))))+(ISNUMBER(SEARCH("--Select Question--",OFFSET(Sheet2!$A$2,0,0,COUNTA(Sheet2!$A$2:$A$48),1)))))</f>
        <v>--Select Question--</v>
      </c>
      <c r="E4" t="str">
        <f ca="1"/>
        <v>Section 2 Question 1</v>
      </c>
      <c r="H4" t="str" cm="1">
        <f t="array" ref="H4:H5">_xlfn._xlws.FILTER(
    Sheet2!B2:B48,
    (ISNUMBER(SEARCH("Section "&amp;Sheet2!C2&amp;"*",Sheet2!A2:A48))) +
    (ISNUMBER(SEARCH("--Select Question--",Sheet2!B2:B48))),""
)</f>
        <v>--Select Question--</v>
      </c>
    </row>
    <row r="5" spans="1:8" x14ac:dyDescent="0.25">
      <c r="E5" t="str">
        <f ca="1"/>
        <v>Section 2 Question 2</v>
      </c>
      <c r="H5" t="str">
        <v>What would you like to focus on in this session today?</v>
      </c>
    </row>
    <row r="6" spans="1:8" x14ac:dyDescent="0.25">
      <c r="E6" t="str">
        <f ca="1"/>
        <v>Section 3 Question 1</v>
      </c>
    </row>
    <row r="7" spans="1:8" x14ac:dyDescent="0.25">
      <c r="E7" t="str">
        <f ca="1"/>
        <v>Section 4 Question 1</v>
      </c>
    </row>
    <row r="8" spans="1:8" x14ac:dyDescent="0.25">
      <c r="E8" t="str">
        <f ca="1"/>
        <v>Section 4 Question 2</v>
      </c>
    </row>
    <row r="9" spans="1:8" x14ac:dyDescent="0.25">
      <c r="E9" t="str">
        <f ca="1"/>
        <v>Section 4 Question 3</v>
      </c>
    </row>
    <row r="10" spans="1:8" x14ac:dyDescent="0.25">
      <c r="E10" t="str">
        <f ca="1"/>
        <v>Section 5 Question 1</v>
      </c>
    </row>
    <row r="11" spans="1:8" x14ac:dyDescent="0.25">
      <c r="E11" t="str">
        <f ca="1"/>
        <v>Section 5 Question 2</v>
      </c>
    </row>
    <row r="12" spans="1:8" x14ac:dyDescent="0.25">
      <c r="E12" t="str">
        <f ca="1"/>
        <v>Section 6 Question 1</v>
      </c>
    </row>
    <row r="13" spans="1:8" x14ac:dyDescent="0.25">
      <c r="E13" t="str">
        <f ca="1"/>
        <v>Section 6 Question 2</v>
      </c>
    </row>
    <row r="14" spans="1:8" x14ac:dyDescent="0.25">
      <c r="E14" t="str">
        <f ca="1"/>
        <v>Section 6 Question 3</v>
      </c>
    </row>
    <row r="15" spans="1:8" x14ac:dyDescent="0.25">
      <c r="C15" t="e" cm="1" vm="1">
        <f t="array" ref="C15">Select_Question</f>
        <v>#VALUE!</v>
      </c>
      <c r="E15" t="str">
        <f ca="1"/>
        <v>Section 6 Question 4</v>
      </c>
    </row>
    <row r="16" spans="1:8" x14ac:dyDescent="0.25">
      <c r="E16" t="str">
        <f ca="1"/>
        <v>Section 6 Question 5</v>
      </c>
    </row>
    <row r="17" spans="5:5" x14ac:dyDescent="0.25">
      <c r="E17" t="str">
        <f ca="1"/>
        <v>Section 7 Question 1</v>
      </c>
    </row>
    <row r="18" spans="5:5" x14ac:dyDescent="0.25">
      <c r="E18" t="str">
        <f ca="1"/>
        <v>Section 7 Question 2</v>
      </c>
    </row>
    <row r="19" spans="5:5" x14ac:dyDescent="0.25">
      <c r="E19" t="str">
        <f ca="1"/>
        <v>Section 7 Question 3</v>
      </c>
    </row>
    <row r="20" spans="5:5" x14ac:dyDescent="0.25">
      <c r="E20" t="str">
        <f ca="1"/>
        <v>Section 7 Question 4</v>
      </c>
    </row>
    <row r="21" spans="5:5" x14ac:dyDescent="0.25">
      <c r="E21" t="str">
        <f ca="1"/>
        <v>Section 7 Question 5</v>
      </c>
    </row>
    <row r="22" spans="5:5" x14ac:dyDescent="0.25">
      <c r="E22" t="str">
        <f ca="1"/>
        <v>Section 8 Question 1</v>
      </c>
    </row>
    <row r="23" spans="5:5" x14ac:dyDescent="0.25">
      <c r="E23" t="str">
        <f ca="1"/>
        <v>Section 8 Question 2</v>
      </c>
    </row>
    <row r="24" spans="5:5" x14ac:dyDescent="0.25">
      <c r="E24" t="str">
        <f ca="1"/>
        <v>Section 8 Question 3</v>
      </c>
    </row>
    <row r="25" spans="5:5" x14ac:dyDescent="0.25">
      <c r="E25" t="str">
        <f ca="1"/>
        <v>Section 9 Question 1</v>
      </c>
    </row>
    <row r="26" spans="5:5" x14ac:dyDescent="0.25">
      <c r="E26" t="str">
        <f ca="1"/>
        <v>Section 9 Question 2</v>
      </c>
    </row>
    <row r="27" spans="5:5" x14ac:dyDescent="0.25">
      <c r="E27" t="str">
        <f ca="1"/>
        <v>Section 9 Question 3</v>
      </c>
    </row>
    <row r="28" spans="5:5" x14ac:dyDescent="0.25">
      <c r="E28" t="str">
        <f ca="1"/>
        <v>Section 9 Question 4</v>
      </c>
    </row>
    <row r="29" spans="5:5" x14ac:dyDescent="0.25">
      <c r="E29" t="str">
        <f ca="1"/>
        <v>Section 9 Question 5</v>
      </c>
    </row>
    <row r="30" spans="5:5" x14ac:dyDescent="0.25">
      <c r="E30" t="str">
        <f ca="1"/>
        <v>Additional Notes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AD66F-D2BD-4E87-BFE6-A2A0FA5FF622}">
  <dimension ref="A1:Z37"/>
  <sheetViews>
    <sheetView showGridLines="0" workbookViewId="0">
      <selection activeCell="D5" sqref="D5"/>
    </sheetView>
  </sheetViews>
  <sheetFormatPr defaultRowHeight="15" x14ac:dyDescent="0.25"/>
  <sheetData>
    <row r="1" spans="1:26" x14ac:dyDescent="0.25">
      <c r="A1" s="13" t="s">
        <v>86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5"/>
    </row>
    <row r="2" spans="1:26" x14ac:dyDescent="0.25">
      <c r="A2" s="16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8"/>
    </row>
    <row r="3" spans="1:26" ht="15.75" thickBot="1" x14ac:dyDescent="0.3">
      <c r="A3" s="19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1"/>
    </row>
    <row r="4" spans="1:26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</row>
    <row r="5" spans="1:26" x14ac:dyDescent="0.25">
      <c r="A5" s="23" t="s">
        <v>88</v>
      </c>
      <c r="B5" s="23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23"/>
      <c r="B6" s="23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</row>
    <row r="36" spans="1:26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</row>
    <row r="37" spans="1:26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</sheetData>
  <mergeCells count="2">
    <mergeCell ref="A1:Z3"/>
    <mergeCell ref="A5:B6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Master Sheet</vt:lpstr>
      <vt:lpstr>Sheet2</vt:lpstr>
      <vt:lpstr>Sheet4</vt:lpstr>
      <vt:lpstr>Section Changes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Wesley Matthews</cp:lastModifiedBy>
  <cp:lastPrinted>2026-07-31T16:12:48Z</cp:lastPrinted>
  <dcterms:created xsi:type="dcterms:W3CDTF">2026-04-15T22:06:26Z</dcterms:created>
  <dcterms:modified xsi:type="dcterms:W3CDTF">2026-08-04T21:53:47Z</dcterms:modified>
</cp:coreProperties>
</file>