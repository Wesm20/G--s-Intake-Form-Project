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735" documentId="13_ncr:1_{4D1BA224-184D-4749-A298-41FB706A327C}" xr6:coauthVersionLast="47" xr6:coauthVersionMax="47" xr10:uidLastSave="{52BA35B6-A529-43BE-83AF-0A508F97B4C9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Session Logs" sheetId="8" r:id="rId5"/>
    <sheet name="Dev. Notes" sheetId="7" r:id="rId6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NextQButn2">'Main Sheet'!#REF!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" l="1"/>
  <c r="N2" i="2" l="1" a="1"/>
  <c r="N2" i="2" s="1"/>
  <c r="I2" i="2"/>
  <c r="B30" i="2"/>
  <c r="A30" i="2"/>
  <c r="L2" i="2" l="1" a="1"/>
  <c r="L2" i="2" s="1"/>
  <c r="L22" i="6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<sst xmlns="http://schemas.openxmlformats.org/spreadsheetml/2006/main" count="119" uniqueCount="108">
  <si>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</si>
  <si>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</si>
  <si>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</si>
  <si>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</si>
  <si>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</si>
  <si>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</si>
  <si>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</si>
  <si>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</si>
  <si>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</si>
  <si>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</si>
  <si>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</si>
  <si>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</si>
  <si>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</si>
  <si>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</si>
  <si>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</si>
  <si>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</si>
  <si>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</si>
  <si>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</si>
  <si>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</si>
  <si>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</si>
  <si>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</si>
  <si>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</si>
  <si>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</si>
  <si>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</si>
  <si>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</si>
  <si>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</si>
  <si>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</si>
  <si>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</si>
  <si>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</si>
  <si>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</si>
  <si>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</si>
  <si>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</si>
  <si>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</si>
  <si>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</si>
  <si>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</si>
  <si>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</si>
  <si>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</si>
  <si>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</si>
  <si>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</si>
  <si>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</si>
  <si>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</si>
  <si>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</si>
  <si>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</si>
  <si>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</si>
  <si>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</si>
  <si>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</si>
  <si>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</si>
  <si>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</si>
  <si>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</si>
  <si>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</si>
  <si>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</si>
  <si>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</si>
  <si>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</si>
  <si>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</si>
  <si>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</si>
  <si>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</si>
  <si>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</si>
  <si>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</si>
  <si>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</si>
  <si>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</si>
  <si>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</si>
  <si>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</si>
  <si>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</si>
  <si>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</si>
  <si>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</si>
  <si>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</si>
  <si>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</si>
  <si>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</si>
  <si>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</si>
  <si>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</si>
  <si>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</si>
  <si>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</si>
  <si>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</si>
  <si>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</si>
  <si>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</si>
  <si>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</si>
  <si>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</si>
  <si>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</si>
  <si>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</si>
  <si>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</si>
  <si>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</si>
  <si>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</si>
  <si>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</si>
  <si>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</si>
  <si>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</si>
  <si>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</si>
  <si>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</si>
  <si>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</si>
  <si>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</si>
  <si>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</si>
  <si>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</si>
  <si>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</si>
  <si>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</si>
  <si>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</si>
  <si>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</si>
  <si>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</si>
  <si>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</si>
  <si>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</si>
  <si>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</si>
  <si>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</si>
  <si>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</si>
  <si>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</si>
  <si>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</si>
  <si>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Hard reset button (to completely reset everything)</t>
  </si>
  <si>
    <t>Add session to Session Logs sheet</t>
  </si>
  <si>
    <t>Done! :)</t>
  </si>
  <si>
    <t>Seperate reset button for only questions and sections, not name, ID, date, etc.</t>
  </si>
  <si>
    <t>Auto retrieve ID from Master sheet when name is typed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</si>
</sst>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13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7" fillId="2" borderId="0" xfId="0" applyFont="1" applyFill="1"/>
    <xf numFmtId="0" fontId="14" fillId="2" borderId="0" xfId="0" applyFont="1" applyFill="1" applyAlignment="1">
      <alignment horizontal="right"/>
    </xf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</cellXfs>
  <cellStyles count="1">
    <cellStyle name="Normal" xfId="0" builtinId="0"/>
  </cellStyles>
  <dxfs count="4">
    <dxf>
      <numFmt numFmtId="164" formatCode="0000#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000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234" name="NextQButn1" hidden="1">
              <a:extLst>
                <a:ext uri="{63B3BB69-23CF-44E3-9099-C40C66FF867C}">
                  <a14:compatExt spid="_x0000_s6234"/>
                </a:ext>
                <a:ext uri="{FF2B5EF4-FFF2-40B4-BE49-F238E27FC236}">
                  <a16:creationId xmlns:a16="http://schemas.microsoft.com/office/drawing/2014/main" id="{00000000-0008-0000-0000-00005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235" name="AddNewSectButn1" hidden="1">
              <a:extLst>
                <a:ext uri="{63B3BB69-23CF-44E3-9099-C40C66FF867C}">
                  <a14:compatExt spid="_x0000_s6235"/>
                </a:ext>
                <a:ext uri="{FF2B5EF4-FFF2-40B4-BE49-F238E27FC236}">
                  <a16:creationId xmlns:a16="http://schemas.microsoft.com/office/drawing/2014/main" id="{00000000-0008-0000-0000-00005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123825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E2" totalsRowShown="0">
  <autoFilter ref="A1:E2" xr:uid="{D7EFA35C-AA3E-4875-B0A1-EFAEC6D9710F}"/>
  <tableColumns count="5">
    <tableColumn id="1" xr3:uid="{D72899BA-419B-43D2-B6E2-A6C7DF3CF018}" name="Full Name"/>
    <tableColumn id="5" xr3:uid="{7FE88BD1-4B93-4121-A8D8-4DA55A698751}" name="Client Initials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3"/>
    <tableColumn id="3" xr3:uid="{D5B5CF77-48F1-4580-BB23-8180B50C3AE3}" name="Session Date"/>
    <tableColumn id="4" xr3:uid="{7E34B7CA-C135-4F53-B39D-47CEF7E523C9}" name="Session N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 dataDxfId="2"/>
    <tableColumn id="2" xr3:uid="{8448674C-5A1D-423E-8205-8DB66A883BD0}" name="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33C58-A750-46D0-A256-551F2FCB6938}" name="MasterClientListTable5" displayName="MasterClientListTable5" ref="A1:E2" totalsRowShown="0">
  <autoFilter ref="A1:E2" xr:uid="{AA133C58-A750-46D0-A256-551F2FCB6938}"/>
  <tableColumns count="5">
    <tableColumn id="1" xr3:uid="{4BFAD364-6B1B-4968-BB56-A8B9A78AE24B}" name="Full Name"/>
    <tableColumn id="5" xr3:uid="{B37BBEC2-9F86-4365-9DE8-2791BF239689}" name="Client Initials">
      <calculatedColumnFormula>IF(MasterClientListTable5[[#This Row],[Full Name]]&lt;&gt;"",LEFT(MasterClientListTable5[[#This Row],[Full Name]],2) &amp; " " &amp; LEFT(RIGHT(MasterClientListTable5[[#This Row],[Full Name]],(SEARCH(" ",MasterClientListTable5[[#This Row],[Full Name]]) + 1)),3),"")</calculatedColumnFormula>
    </tableColumn>
    <tableColumn id="2" xr3:uid="{649A3307-915A-4DF3-992F-699587FA805F}" name="ID" dataDxfId="0"/>
    <tableColumn id="3" xr3:uid="{CF6A79C9-EC1A-4A2B-9E95-066D3EAB03EE}" name="Session Date"/>
    <tableColumn id="4" xr3:uid="{5D6FCC58-60A7-43D2-BBCF-71342819E267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showGridLines="0" tabSelected="1" zoomScale="190" zoomScaleNormal="19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4" t="s">
        <v>82</v>
      </c>
      <c r="B3" s="1"/>
      <c r="C3" s="19"/>
      <c r="D3" s="19"/>
      <c r="E3" s="19"/>
      <c r="F3" s="19"/>
      <c r="G3" s="19"/>
      <c r="H3" s="19"/>
      <c r="I3" s="19"/>
      <c r="K3" s="4" t="s">
        <v>28</v>
      </c>
      <c r="L3" s="20"/>
      <c r="M3" s="20"/>
      <c r="O3" s="4" t="s">
        <v>0</v>
      </c>
      <c r="P3" s="18"/>
      <c r="Q3" s="19"/>
      <c r="R3" s="19"/>
      <c r="T3" s="5" t="s">
        <v>1</v>
      </c>
      <c r="U3" s="3"/>
    </row>
    <row r="5" spans="1:21" x14ac:dyDescent="0.25">
      <c r="B5" s="17" t="s">
        <v>101</v>
      </c>
      <c r="C5" s="17"/>
      <c r="D5" s="17"/>
      <c r="E5" s="17"/>
      <c r="F5" s="17"/>
    </row>
    <row r="6" spans="1:21" ht="15" customHeight="1" x14ac:dyDescent="0.25">
      <c r="C6" s="16" t="s">
        <v>12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</row>
  </sheetData>
  <sheetProtection selectLockedCells="1"/>
  <dataConsolidate/>
  <mergeCells count="5">
    <mergeCell ref="C6:U6"/>
    <mergeCell ref="B5:F5"/>
    <mergeCell ref="P3:R3"/>
    <mergeCell ref="C3:I3"/>
    <mergeCell ref="L3:M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4" r:id="rId7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5" r:id="rId8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  <x14:dataValidation type="list" allowBlank="1" showInputMessage="1" showErrorMessage="1" xr:uid="{70C6BE61-3F61-4503-A706-E769A17AA2A4}">
          <x14:formula1>
            <xm:f>_xlfn.ANCHORARRAY(Sheet2!$N$2)</xm:f>
          </x14:formula1>
          <xm:sqref>B5:F5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E2"/>
  <sheetViews>
    <sheetView workbookViewId="0">
      <selection activeCell="A3" sqref="A3"/>
    </sheetView>
  </sheetViews>
  <sheetFormatPr defaultRowHeight="15" x14ac:dyDescent="0.25"/>
  <cols>
    <col min="1" max="1" width="14.42578125" customWidth="1"/>
    <col min="2" max="2" width="9.140625" customWidth="1"/>
    <col min="3" max="4" width="1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2" s="6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C41"/>
  <sheetViews>
    <sheetView showGridLines="0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29" ht="15" customHeight="1" x14ac:dyDescent="0.25">
      <c r="A1" s="21" t="s">
        <v>84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3"/>
    </row>
    <row r="2" spans="1:29" ht="15" customHeight="1" x14ac:dyDescent="0.25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6"/>
    </row>
    <row r="3" spans="1:29" ht="15.75" customHeight="1" thickBot="1" x14ac:dyDescent="0.3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9"/>
    </row>
    <row r="4" spans="1:29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</row>
    <row r="5" spans="1:29" x14ac:dyDescent="0.25">
      <c r="A5" s="37" t="s">
        <v>86</v>
      </c>
      <c r="B5" s="3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</row>
    <row r="6" spans="1:29" ht="15" customHeight="1" x14ac:dyDescent="0.25">
      <c r="A6" s="37"/>
      <c r="B6" s="3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</row>
    <row r="7" spans="1:29" ht="15" customHeight="1" x14ac:dyDescent="0.4">
      <c r="A7" s="10"/>
      <c r="B7" s="10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</row>
    <row r="8" spans="1:29" ht="15" customHeigh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</row>
    <row r="9" spans="1:29" ht="15" customHeight="1" x14ac:dyDescent="0.45">
      <c r="A9" s="8"/>
      <c r="B9" s="30" t="s">
        <v>94</v>
      </c>
      <c r="C9" s="30"/>
      <c r="D9" s="30"/>
      <c r="E9" s="30"/>
      <c r="F9" s="30"/>
      <c r="G9" s="30"/>
      <c r="H9" s="9"/>
      <c r="I9" s="9"/>
      <c r="J9" s="9"/>
      <c r="K9" s="9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</row>
    <row r="10" spans="1:29" ht="15" customHeight="1" thickBot="1" x14ac:dyDescent="0.5">
      <c r="A10" s="8"/>
      <c r="B10" s="30"/>
      <c r="C10" s="30"/>
      <c r="D10" s="30"/>
      <c r="E10" s="30"/>
      <c r="F10" s="30"/>
      <c r="G10" s="30"/>
      <c r="H10" s="9"/>
      <c r="I10" s="9"/>
      <c r="J10" s="9"/>
      <c r="K10" s="9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</row>
    <row r="11" spans="1:29" ht="15" customHeight="1" x14ac:dyDescent="0.25">
      <c r="A11" s="38" t="s">
        <v>97</v>
      </c>
      <c r="B11" s="39"/>
      <c r="C11" s="39"/>
      <c r="D11" s="40"/>
      <c r="E11" s="31" t="str">
        <f>IF(INDEX(Sheet2!K2:L9,MATCH(L11,Sheet2!L2:L9,0),2)="--Select Section--","",INDEX(Sheet2!K2:L9,MATCH(L11,Sheet2!L2:L9,0),1))</f>
        <v/>
      </c>
      <c r="F11" s="32"/>
      <c r="G11" s="38" t="s">
        <v>96</v>
      </c>
      <c r="H11" s="39"/>
      <c r="I11" s="39"/>
      <c r="J11" s="39"/>
      <c r="K11" s="40"/>
      <c r="L11" s="47" t="s">
        <v>101</v>
      </c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9"/>
      <c r="Z11" s="8"/>
      <c r="AA11" s="8"/>
      <c r="AB11" s="8"/>
      <c r="AC11" s="8"/>
    </row>
    <row r="12" spans="1:29" ht="15" customHeight="1" x14ac:dyDescent="0.25">
      <c r="A12" s="41"/>
      <c r="B12" s="42"/>
      <c r="C12" s="42"/>
      <c r="D12" s="43"/>
      <c r="E12" s="33"/>
      <c r="F12" s="34"/>
      <c r="G12" s="41"/>
      <c r="H12" s="42"/>
      <c r="I12" s="42"/>
      <c r="J12" s="42"/>
      <c r="K12" s="43"/>
      <c r="L12" s="50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2"/>
      <c r="Z12" s="8"/>
      <c r="AA12" s="8"/>
      <c r="AB12" s="8"/>
      <c r="AC12" s="8"/>
    </row>
    <row r="13" spans="1:29" ht="15" customHeight="1" thickBot="1" x14ac:dyDescent="0.3">
      <c r="A13" s="44"/>
      <c r="B13" s="45"/>
      <c r="C13" s="45"/>
      <c r="D13" s="46"/>
      <c r="E13" s="35"/>
      <c r="F13" s="36"/>
      <c r="G13" s="44"/>
      <c r="H13" s="45"/>
      <c r="I13" s="45"/>
      <c r="J13" s="45"/>
      <c r="K13" s="46"/>
      <c r="L13" s="53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5"/>
      <c r="Z13" s="8"/>
      <c r="AA13" s="8"/>
      <c r="AB13" s="8"/>
      <c r="AC13" s="8"/>
    </row>
    <row r="14" spans="1:29" ht="15" customHeight="1" x14ac:dyDescent="0.7">
      <c r="A14" s="11"/>
      <c r="B14" s="11"/>
      <c r="C14" s="11"/>
      <c r="D14" s="11"/>
      <c r="E14" s="11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</row>
    <row r="15" spans="1:29" ht="15" customHeight="1" x14ac:dyDescent="0.7">
      <c r="A15" s="11"/>
      <c r="B15" s="11"/>
      <c r="C15" s="11"/>
      <c r="D15" s="11"/>
      <c r="E15" s="14"/>
      <c r="F15" s="14"/>
      <c r="G15" s="15"/>
      <c r="H15" s="15"/>
      <c r="I15" s="15"/>
      <c r="J15" s="15"/>
      <c r="K15" s="15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8"/>
      <c r="AA15" s="8"/>
      <c r="AB15" s="8"/>
      <c r="AC15" s="8"/>
    </row>
    <row r="16" spans="1:29" ht="15" customHeight="1" x14ac:dyDescent="0.7">
      <c r="A16" s="11"/>
      <c r="B16" s="11"/>
      <c r="C16" s="11"/>
      <c r="D16" s="11"/>
      <c r="E16" s="14"/>
      <c r="F16" s="14"/>
      <c r="G16" s="15"/>
      <c r="H16" s="15"/>
      <c r="I16" s="15"/>
      <c r="J16" s="15"/>
      <c r="K16" s="15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8"/>
      <c r="AA16" s="8"/>
      <c r="AB16" s="8"/>
      <c r="AC16" s="8"/>
    </row>
    <row r="17" spans="1:29" ht="15" customHeight="1" x14ac:dyDescent="0.7">
      <c r="A17" s="11"/>
      <c r="B17" s="11"/>
      <c r="C17" s="11"/>
      <c r="D17" s="11"/>
      <c r="E17" s="14"/>
      <c r="F17" s="14"/>
      <c r="G17" s="15"/>
      <c r="H17" s="15"/>
      <c r="I17" s="15"/>
      <c r="J17" s="15"/>
      <c r="K17" s="15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8"/>
      <c r="AA17" s="8"/>
      <c r="AB17" s="8"/>
      <c r="AC17" s="8"/>
    </row>
    <row r="18" spans="1:29" ht="15.75" customHeight="1" thickBot="1" x14ac:dyDescent="0.75">
      <c r="A18" s="8"/>
      <c r="B18" s="8"/>
      <c r="C18" s="8"/>
      <c r="D18" s="11"/>
      <c r="E18" s="11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</row>
    <row r="19" spans="1:29" ht="15" customHeight="1" x14ac:dyDescent="0.25">
      <c r="A19" s="38" t="s">
        <v>98</v>
      </c>
      <c r="B19" s="39"/>
      <c r="C19" s="39"/>
      <c r="D19" s="40"/>
      <c r="E19" s="31" t="str">
        <f>IFERROR(IF((INDEX(Sheet2!F:G,MATCH('Section Changes'!L19,Sheet2!F:F,0),2))=0,"",INDEX(Sheet2!F:G,MATCH('Section Changes'!L19,Sheet2!F:F,0),2)),"")</f>
        <v/>
      </c>
      <c r="F19" s="32"/>
      <c r="G19" s="38" t="s">
        <v>99</v>
      </c>
      <c r="H19" s="39"/>
      <c r="I19" s="39"/>
      <c r="J19" s="39"/>
      <c r="K19" s="40"/>
      <c r="L19" s="56" t="s">
        <v>12</v>
      </c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8"/>
      <c r="AC19" s="8"/>
    </row>
    <row r="20" spans="1:29" ht="15" customHeight="1" x14ac:dyDescent="0.25">
      <c r="A20" s="41"/>
      <c r="B20" s="42"/>
      <c r="C20" s="42"/>
      <c r="D20" s="43"/>
      <c r="E20" s="33"/>
      <c r="F20" s="34"/>
      <c r="G20" s="41"/>
      <c r="H20" s="42"/>
      <c r="I20" s="42"/>
      <c r="J20" s="42"/>
      <c r="K20" s="43"/>
      <c r="L20" s="59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1"/>
      <c r="AC20" s="8"/>
    </row>
    <row r="21" spans="1:29" ht="15.75" customHeight="1" thickBot="1" x14ac:dyDescent="0.3">
      <c r="A21" s="44"/>
      <c r="B21" s="45"/>
      <c r="C21" s="45"/>
      <c r="D21" s="46"/>
      <c r="E21" s="35"/>
      <c r="F21" s="36"/>
      <c r="G21" s="44"/>
      <c r="H21" s="45"/>
      <c r="I21" s="45"/>
      <c r="J21" s="45"/>
      <c r="K21" s="46"/>
      <c r="L21" s="62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4"/>
      <c r="AC21" s="8"/>
    </row>
    <row r="22" spans="1:29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 t="str">
        <f>"Max question characters is 95. This question is at: "&amp;(IF(L19&lt;&gt;"--Select Question--",LEN(L19),""))</f>
        <v xml:space="preserve">Max question characters is 95. This question is at: </v>
      </c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</row>
    <row r="23" spans="1:29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</row>
    <row r="24" spans="1:29" ht="15" customHeight="1" x14ac:dyDescent="0.7">
      <c r="A24" s="11"/>
      <c r="B24" s="11"/>
      <c r="C24" s="11"/>
      <c r="D24" s="11"/>
      <c r="E24" s="14"/>
      <c r="F24" s="14"/>
      <c r="G24" s="11"/>
      <c r="H24" s="11"/>
      <c r="I24" s="11"/>
      <c r="J24" s="11"/>
      <c r="K24" s="11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8"/>
    </row>
    <row r="25" spans="1:29" ht="15" customHeight="1" x14ac:dyDescent="0.7">
      <c r="A25" s="11"/>
      <c r="B25" s="11"/>
      <c r="C25" s="11"/>
      <c r="D25" s="11"/>
      <c r="E25" s="14"/>
      <c r="F25" s="14"/>
      <c r="G25" s="11"/>
      <c r="H25" s="11"/>
      <c r="I25" s="11"/>
      <c r="J25" s="11"/>
      <c r="K25" s="11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8"/>
    </row>
    <row r="26" spans="1:29" ht="15.75" customHeight="1" x14ac:dyDescent="0.7">
      <c r="A26" s="11"/>
      <c r="B26" s="11"/>
      <c r="C26" s="11"/>
      <c r="D26" s="11"/>
      <c r="E26" s="14"/>
      <c r="F26" s="14"/>
      <c r="G26" s="11"/>
      <c r="H26" s="11"/>
      <c r="I26" s="11"/>
      <c r="J26" s="11"/>
      <c r="K26" s="11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8"/>
    </row>
    <row r="27" spans="1:29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</row>
    <row r="28" spans="1:29" x14ac:dyDescent="0.2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</row>
    <row r="29" spans="1:29" x14ac:dyDescent="0.2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</row>
    <row r="30" spans="1:29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</row>
    <row r="31" spans="1:29" x14ac:dyDescent="0.2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</row>
    <row r="32" spans="1:29" x14ac:dyDescent="0.2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</row>
    <row r="33" spans="1:29" x14ac:dyDescent="0.2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</row>
    <row r="34" spans="1:29" x14ac:dyDescent="0.2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</row>
    <row r="35" spans="1:29" x14ac:dyDescent="0.2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</row>
    <row r="36" spans="1:29" x14ac:dyDescent="0.2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</row>
    <row r="37" spans="1:29" x14ac:dyDescent="0.2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</row>
    <row r="38" spans="1:29" x14ac:dyDescent="0.2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</row>
    <row r="39" spans="1:29" x14ac:dyDescent="0.2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</row>
    <row r="40" spans="1:29" x14ac:dyDescent="0.2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</row>
    <row r="41" spans="1:29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Delete_Section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N30"/>
  <sheetViews>
    <sheetView workbookViewId="0">
      <selection activeCell="C2" sqref="C2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4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4" x14ac:dyDescent="0.25">
      <c r="A2" s="2" t="s">
        <v>12</v>
      </c>
      <c r="B2" s="2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  <c r="N2" t="str" cm="1">
        <f t="array" ref="N2:N11">SectionsList[Name]</f>
        <v>--Select Section--</v>
      </c>
    </row>
    <row r="3" spans="1:14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  <c r="N3" t="str">
        <v>Introduction</v>
      </c>
    </row>
    <row r="4" spans="1:14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  <c r="N4" t="str">
        <v>Vision</v>
      </c>
    </row>
    <row r="5" spans="1:14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  <c r="N5" t="str">
        <v>Values</v>
      </c>
    </row>
    <row r="6" spans="1:14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  <c r="N6" t="str">
        <v>Assessment</v>
      </c>
    </row>
    <row r="7" spans="1:14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  <c r="N7" t="str">
        <v>Importance</v>
      </c>
    </row>
    <row r="8" spans="1:14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  <c r="N8" t="str">
        <v>Confidence</v>
      </c>
    </row>
    <row r="9" spans="1:14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  <c r="N9" t="str">
        <v>Goal Setting</v>
      </c>
    </row>
    <row r="10" spans="1:14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  <c r="N10" t="str">
        <v>Preparation for Action</v>
      </c>
    </row>
    <row r="11" spans="1:14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  <c r="N11" t="str">
        <v>Wrap Up</v>
      </c>
    </row>
    <row r="12" spans="1:14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4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4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4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4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50D7-23D5-4DE6-9686-7F5B29C86E1A}">
  <sheetPr codeName="Sheet4"/>
  <dimension ref="A1:E2"/>
  <sheetViews>
    <sheetView workbookViewId="0">
      <selection activeCell="E2" sqref="E2"/>
    </sheetView>
  </sheetViews>
  <sheetFormatPr defaultRowHeight="15" x14ac:dyDescent="0.25"/>
  <cols>
    <col min="1" max="5" width="15.4257812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B2" t="str">
        <f>IF(MasterClientListTable5[[#This Row],[Full Name]]&lt;&gt;"",LEFT(MasterClientListTable5[[#This Row],[Full Name]],2) &amp; " " &amp; LEFT(RIGHT(MasterClientListTable5[[#This Row],[Full Name]],(SEARCH(" ",MasterClientListTable5[[#This Row],[Full Name]]) + 1)),3),"")</f>
        <v/>
      </c>
      <c r="C2" s="6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12"/>
  <sheetViews>
    <sheetView workbookViewId="0">
      <selection activeCell="B13" sqref="B13"/>
    </sheetView>
  </sheetViews>
  <sheetFormatPr defaultRowHeight="15" x14ac:dyDescent="0.25"/>
  <cols>
    <col min="1" max="1" width="11.5703125" customWidth="1"/>
    <col min="2" max="2" width="155.7109375" customWidth="1"/>
    <col min="3" max="3" width="17.42578125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7">
        <v>46239</v>
      </c>
      <c r="B2" t="s">
        <v>89</v>
      </c>
    </row>
    <row r="3" spans="1:3" x14ac:dyDescent="0.25">
      <c r="B3" t="s">
        <v>90</v>
      </c>
      <c r="C3" t="s">
        <v>105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</row>
    <row r="7" spans="1:3" x14ac:dyDescent="0.25">
      <c r="B7" t="s">
        <v>106</v>
      </c>
    </row>
    <row r="8" spans="1:3" x14ac:dyDescent="0.25">
      <c r="B8" t="s">
        <v>100</v>
      </c>
    </row>
    <row r="9" spans="1:3" x14ac:dyDescent="0.25">
      <c r="B9" t="s">
        <v>102</v>
      </c>
    </row>
    <row r="10" spans="1:3" x14ac:dyDescent="0.25">
      <c r="B10" t="s">
        <v>103</v>
      </c>
    </row>
    <row r="11" spans="1:3" x14ac:dyDescent="0.25">
      <c r="B11" t="s">
        <v>104</v>
      </c>
    </row>
    <row r="12" spans="1:3" x14ac:dyDescent="0.25">
      <c r="B12" t="s">
        <v>107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Sheet</vt:lpstr>
      <vt:lpstr>Master Sheet</vt:lpstr>
      <vt:lpstr>Section Changes</vt:lpstr>
      <vt:lpstr>Sheet2</vt:lpstr>
      <vt:lpstr>Session Logs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2026-08-28T16:01:27Z</cp:lastPrinted>
  <dcterms:created xsi:type="dcterms:W3CDTF">2026-04-15T22:06:26Z</dcterms:created>
  <dcterms:modified xsi:type="dcterms:W3CDTF">2026-08-28T22:36:44Z</dcterms:modified>
</cp:coreProperties>
</file>